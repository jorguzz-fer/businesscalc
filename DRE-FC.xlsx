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E" sheetId="1" r:id="rId5"/>
    <sheet state="visible" name="FC" sheetId="2" r:id="rId6"/>
  </sheets>
  <definedNames>
    <definedName name="XRefCopy52Row">#REF!</definedName>
    <definedName localSheetId="1" name="BExZNH3VISFF4NQI11BZDP5IQ7VG">#REF!</definedName>
    <definedName name="BExQDGQCN7ZW41QDUHOBJUGQAX40">#REF!</definedName>
    <definedName localSheetId="1" name="XRefCopy74">#REF!</definedName>
    <definedName localSheetId="1" name="BEx9IT5QNZWKM6YQ5WER0DC2PMMU">#REF!</definedName>
    <definedName name="BExZM7JVLG0W8EG5RBU915U3SKBY">#REF!</definedName>
    <definedName localSheetId="1" name="BEx9175B70QXYAU5A8DJPGZQ46L9">#REF!</definedName>
    <definedName name="XRefPaste29Row">#REF!</definedName>
    <definedName name="BExO5A8PZD9EUHC5CMPU6N3SQ15L">#REF!</definedName>
    <definedName localSheetId="1" name="BExKU82I99FEUIZLODXJDOJC96CQ">#REF!</definedName>
    <definedName localSheetId="1" name="BExQIBWPAXU7HJZLKGJZY3EB7MIS">#REF!</definedName>
    <definedName name="BExD71LTOE015TV5RSAHM8NT8GVW">#REF!</definedName>
    <definedName name="BExTUA5F7V4LUIIAM17J3A8XF3JE">#REF!</definedName>
    <definedName name="BExKSJTWG9L3FCX8FLK4EMUJMF27">#REF!</definedName>
    <definedName localSheetId="1" name="BEx91L8FLL5CWLA2CDHKCOMGVDZN">#REF!</definedName>
    <definedName name="BExVYQIXPEM6J4JVP78BRHIC05PV">#REF!</definedName>
    <definedName localSheetId="1" name="BExB6C8X6JYRLKZKK17VE3QUNL3D">#REF!</definedName>
    <definedName name="BExQ9E6FBAXTHGF3RXANFIA77GXP">#REF!</definedName>
    <definedName localSheetId="1" name="BExKO06X0EAD3ABEG1E8PWLDWHBA">#REF!</definedName>
    <definedName localSheetId="1" name="XRefPaste99Row">#REF!</definedName>
    <definedName localSheetId="1" name="XRefCopy68">#REF!</definedName>
    <definedName localSheetId="1" name="XRefPaste7">#REF!</definedName>
    <definedName name="BEx1UESH4KDWHYESQU2IE55RS3LI">#REF!</definedName>
    <definedName name="BExU147D6RPG6ZVTSXRKFSVRHSBG">#REF!</definedName>
    <definedName name="BExCXQUFBMXQ1650735H48B1AZT3">#REF!</definedName>
    <definedName name="XREF_COLUMN_25">#REF!</definedName>
    <definedName name="XRefPaste17">#REF!</definedName>
    <definedName name="XRefPaste70">#REF!</definedName>
    <definedName localSheetId="1" name="BExZTW6ECBRA0BBITWBQ8R93RMCL">#REF!</definedName>
    <definedName localSheetId="1" name="BExGNZO44DEG8CGIDYSEGDUQ531R">#REF!</definedName>
    <definedName localSheetId="1" name="BExGVV6OOLDQ3TXZK51TTF3YX0WN">#REF!</definedName>
    <definedName localSheetId="1" name="BExF19CT3MMZZ2T5EWMDNG3UOJ01">#REF!</definedName>
    <definedName localSheetId="1" name="XRefPaste124">#REF!</definedName>
    <definedName name="BExERRUIKIOATPZ9U4HQ0V52RJAU">#REF!</definedName>
    <definedName localSheetId="1" name="BExB74PS5P9G0P09Y6DZSCX0FLTJ">#REF!</definedName>
    <definedName name="BExU7O2BJ6D5YCKEL6FD2EFCWYRX">#REF!</definedName>
    <definedName name="BExD2DMHH1HWXQ9W0YYMDP8AAX8Q">#REF!</definedName>
    <definedName localSheetId="1" name="BExOJ3AKZ9BCBZT3KD8WMSLK6MN2">#REF!</definedName>
    <definedName name="XRefCopy146">#REF!</definedName>
    <definedName name="BEx3Q0VWPU5EQECK7MQ47TYJ3SWW">#REF!</definedName>
    <definedName name="BEx9FJTSRCZ3ZXT3QVBJT5NF8T7V">#REF!</definedName>
    <definedName localSheetId="1" name="XRefCopy33Row">#REF!</definedName>
    <definedName name="BExKH3FV5U5O6XZM7STS3NZKQFGJ">#REF!</definedName>
    <definedName localSheetId="1" name="BExU76ZHCJM8I7VSICCMSTC33O6U">#REF!</definedName>
    <definedName localSheetId="1" name="BExS1BNVGNSGD4EP90QL8WXYWZ66">#REF!</definedName>
    <definedName name="BExAYR2JZCJBUH6F1LZC2A7JIVRJ">#REF!</definedName>
    <definedName name="XRefCopy74">#REF!</definedName>
    <definedName name="XRefPaste5Row">#REF!</definedName>
    <definedName localSheetId="1" name="BExQFPNFKA36IAPS22LAUMBDI4KE">#REF!</definedName>
    <definedName name="BExSAY9CA9TFXQ9M9FBJRGJO9T9E">#REF!</definedName>
    <definedName localSheetId="1" name="BExKQJGAAWNM3NT19E9I0CQDBTU0">#REF!</definedName>
    <definedName name="BExGYCNATXZY2FID93B17YWIPPRD">#REF!</definedName>
    <definedName name="BExF7K88K7ASGV6RAOAGH52G04VR">#REF!</definedName>
    <definedName name="XRefCopy135">#REF!</definedName>
    <definedName name="BExB1WI6M8I0EEP1ANUQZCFY24EV">#REF!</definedName>
    <definedName name="BExES44RHHDL3V7FLV6M20834WF1">#REF!</definedName>
    <definedName localSheetId="1" name="BExQAELFYH92K8CJL155181UDORO">#REF!</definedName>
    <definedName localSheetId="1" name="BExAYY9H9COOT46HJLPVDLTO12UL">#REF!</definedName>
    <definedName localSheetId="1" name="BExGWLEOC70Z8QAJTPT2PDHTNM4L">#REF!</definedName>
    <definedName localSheetId="1" name="BExKLLKVVHT06LA55JB2FC871DC5">#REF!</definedName>
    <definedName name="BExOI5VMTHH7Y8MQQ1N635CHYI0P">#REF!</definedName>
    <definedName localSheetId="1" name="BExGUQF9N9FKI7S0H30WUAEB5LPD">#REF!</definedName>
    <definedName localSheetId="1" name="BExOEGT7RXQPT19VLM6OWEZYIPRJ">#REF!</definedName>
    <definedName name="BExOIEVCP4Y6VDS23AK84MCYYHRT">#REF!</definedName>
    <definedName name="BExQAELFYH92K8CJL155181UDORO">#REF!</definedName>
    <definedName name="BExXRO9N1SNJZGKD90P4K7FU1J0P">#REF!</definedName>
    <definedName name="BExML5QGSWHLI18BGY4CGOTD3UWH">#REF!</definedName>
    <definedName name="XRefPaste30Row">#REF!</definedName>
    <definedName name="BExKPEZP0QTKOTLIMMIFSVTHQEEK">#REF!</definedName>
    <definedName name="BExMCA96YR10V72G2R0SCIKPZLIZ">#REF!</definedName>
    <definedName name="BExGUZKF06F209XL1IZWVJEQ82EE">#REF!</definedName>
    <definedName name="BExH0M0FDN12YBOCKL3XL2Z7T7Y8">#REF!</definedName>
    <definedName localSheetId="1" name="BEx1SSSWL61TKWDW4NP0YL5US9C6">#REF!</definedName>
    <definedName name="BExZU2BHYAOKSCBM3C5014ZF6IXS">#REF!</definedName>
    <definedName name="BEx5GN0EWA9SCQDPQ7NTUQH82QVK">#REF!</definedName>
    <definedName localSheetId="1" name="BEx5K51DSERT1TR7B4A29R41W4NX">#REF!</definedName>
    <definedName localSheetId="1" name="BExBCVIB10IIHH3F8IPM2KZKK0O5">#REF!</definedName>
    <definedName name="BExOOTN0KTXJCL7E476XBN1CJ553">#REF!</definedName>
    <definedName localSheetId="1" name="BEx3UIQ5WRJBGNTFCCLOR4N7B1OQ">#REF!</definedName>
    <definedName localSheetId="1" name="BExTWI0Q8AWXUA3ZN7I5V3QK2KM1">#REF!</definedName>
    <definedName name="BExSD2U0F3BN6IN9N4R2DTTJG15H">#REF!</definedName>
    <definedName localSheetId="1" name="BExD6H2TE0WWAUIWVSSCLPZ6B88N">#REF!</definedName>
    <definedName name="BEx5GNBCU4WZ74I0UXFL9ZG2XSGJ">#REF!</definedName>
    <definedName localSheetId="1" name="BExGOXJDHUDPDT8I8IVGVW9J0R5Q">#REF!</definedName>
    <definedName localSheetId="1" name="BExBE162OSBKD30I7T1DKKPT3I9I">#REF!</definedName>
    <definedName localSheetId="1" name="BExH1Z0GIUSVTF2H1G1I3PDGBNK2">#REF!</definedName>
    <definedName localSheetId="1" name="BEx5A11WZRQSIE089QE119AOX9ZG">#REF!</definedName>
    <definedName name="BEx9581TYVI2M5TT4ISDAJV4W7Z6">#REF!</definedName>
    <definedName name="XRefPaste15">#REF!</definedName>
    <definedName name="BExZQ37OVBR25U32CO2YYVPZOMR5">#REF!</definedName>
    <definedName name="BExQIS8O6R36CI01XRY9ISM99TW9">#REF!</definedName>
    <definedName localSheetId="1" name="BExTUA5F7V4LUIIAM17J3A8XF3JE">#REF!</definedName>
    <definedName name="XRefCopy82Row">#REF!</definedName>
    <definedName name="BExU02QNT4LT7H9JPUC4FXTLVGZT">#REF!</definedName>
    <definedName name="BExGODAZKJ9EXMQZNQR5YDBSS525">#REF!</definedName>
    <definedName name="BExU5TDWM8NNDHYPQ7OQODTQ368A">#REF!</definedName>
    <definedName name="BExVZNXWS91RD7NXV5NE2R3C8WW7">#REF!</definedName>
    <definedName name="BEx7DGF13H2074LRWFZQ45PZ6JPX">#REF!</definedName>
    <definedName name="BExY1WAT3937L08HLHIRQHMP2A3H">#REF!</definedName>
    <definedName localSheetId="1" name="BExAYTGVRD3DLKO75RFPMBKCIWB8">#REF!</definedName>
    <definedName name="BExGO2O0V6UYDY26AX8OSN72F77N">#REF!</definedName>
    <definedName localSheetId="1" name="BExY0XTZLHN49J2JH94BYTKBJLT3">#REF!</definedName>
    <definedName localSheetId="1" name="BEx3CKFCCPZZ6ROLAT5C1DZNIC1U">#REF!</definedName>
    <definedName localSheetId="1" name="BExSBRBXXQMBU1TYDW1BXTEVEPRU">#REF!</definedName>
    <definedName name="XRefPaste21">#REF!</definedName>
    <definedName name="BEx3GKFH64MKQX61S7DYTZ15JCPY">#REF!</definedName>
    <definedName localSheetId="1" name="BEx98IFKNJFGZFLID1YTRFEG1SXY">#REF!</definedName>
    <definedName name="BEx79EB6SJQ2R0V8TFGTM5BZWHLU">#REF!</definedName>
    <definedName localSheetId="1" name="BExKNCTBZTSY3MO42VU5PLV6YUHZ">#REF!</definedName>
    <definedName localSheetId="1" name="BExZUT54340I38GVCV79EL116WR0">#REF!</definedName>
    <definedName name="BExF642TEGTXCI9A61ZOONJCB0U1">#REF!</definedName>
    <definedName localSheetId="1" name="IQRMAG15">#REF!</definedName>
    <definedName localSheetId="1" name="BExOJ7XQK71I4YZDD29AKOOWZ47E">#REF!</definedName>
    <definedName name="BExZOZSWGLSY2XYVRIS6VSNJDSGD">#REF!</definedName>
    <definedName name="BExMMTIXETA5VAKBSOFDD5SRU887">#REF!</definedName>
    <definedName name="BExY4PWCSFB8P3J3TBQB2MD67263">#REF!</definedName>
    <definedName localSheetId="1" name="BExS26OI2QNNAH2WMDD95Z400048">#REF!</definedName>
    <definedName name="BExMNJLFWZBRN9PZF1IO9CYWV1B2">#REF!</definedName>
    <definedName name="BEx0313GRLLASDTVPW5DHTXHE74M">#REF!</definedName>
    <definedName localSheetId="1" name="BExIQBMDE1L6J4H27K1FMSHQKDSE">#REF!</definedName>
    <definedName name="BExH02ZD6VAY1KQLAQYBBI6WWIZB">#REF!</definedName>
    <definedName name="BEx5PLCA8DOMAU315YCS5275L2HS">#REF!</definedName>
    <definedName localSheetId="1" name="XRefCopy71Row">#REF!</definedName>
    <definedName name="XRefCopy59">#REF!</definedName>
    <definedName localSheetId="1" name="BEx1N3CUJ3UX61X38ZAJVPEN4KMC">#REF!</definedName>
    <definedName name="XRefCopy68Row">#REF!</definedName>
    <definedName name="BExD3QXA2UQ2W4N7NYLUEOG40BZB">#REF!</definedName>
    <definedName name="BExEQDXZALJLD4OBF74IKZBR13SR">#REF!</definedName>
    <definedName localSheetId="1" name="BEx1X3LHU9DPG01VWX2IF65TRATF">#REF!</definedName>
    <definedName localSheetId="1" name="BEx5CEM3SYF9XP0ZZVE0GEPCLV3F">#REF!</definedName>
    <definedName localSheetId="1" name="BExMCUS7GSOM96J0HJ7EH0FFM2AC">#REF!</definedName>
    <definedName localSheetId="1" name="BExGR6LQ97HETGS3CT96L4IK0JSH">#REF!</definedName>
    <definedName localSheetId="1" name="BExF57K7L3UC1I2FSAWURR4SN0UN">#REF!</definedName>
    <definedName name="BExGUDDZXFFQHAF4UZF8ZB1HO7H6">#REF!</definedName>
    <definedName name="XRefPaste22Row">#REF!</definedName>
    <definedName name="BExO55G2KVZ7MIJ30N827CLH0I2A">#REF!</definedName>
    <definedName name="BExSDP5Y04WWMX2WWRITWOX8R5I9">#REF!</definedName>
    <definedName name="BExSA5HP306TN9XJS0TU619DLRR7">#REF!</definedName>
    <definedName localSheetId="1" name="XRefPaste122">#REF!</definedName>
    <definedName name="BExAYP9TDTI2MBP6EYE0H39CPMXN">#REF!</definedName>
    <definedName name="BExH0WNJAKTJRCKMTX8O4KNMIIJM">#REF!</definedName>
    <definedName localSheetId="1" name="_15__123Graph_ACHART_1">#REF!</definedName>
    <definedName name="BExU6FEU1MRHU98R9YOJC5OKUJ6L">#REF!</definedName>
    <definedName localSheetId="1" name="BExS98OB4321YCHLCQ022PXKTT2W">#REF!</definedName>
    <definedName name="BEx5GUCTYC7QCWGWU5BTO7Y7HDZX">#REF!</definedName>
    <definedName localSheetId="1" name="BEx74W6BJ8ENO3J25WNM5H5APKA3">#REF!</definedName>
    <definedName name="BExQ19DEUOLC11IW32E2AMVZLFF1">#REF!</definedName>
    <definedName localSheetId="1" name="BExMMNIZ2T7M22WECMUQXEF4NJ71">#REF!</definedName>
    <definedName name="XRefCopy64Row">#REF!</definedName>
    <definedName localSheetId="1" name="BExW2H3C8WJSBW5FGTFKVDVJC4CL">#REF!</definedName>
    <definedName localSheetId="1" name="BExEV2TP7NA3ZR6RJGH5ER370OUM">#REF!</definedName>
    <definedName name="BExZRP1X6UVLN1UOLHH5VF4STP1O">#REF!</definedName>
    <definedName localSheetId="1" name="BExB2O2UYHKI324YE324E1N7FVIB">#REF!</definedName>
    <definedName name="BExUEJGX3OQQP5KFRJSRCZ70EI9V">#REF!</definedName>
    <definedName name="BEx9B917EUP13X6FQ3NPQL76XM5V">#REF!</definedName>
    <definedName localSheetId="1" name="XRefCopy40">#REF!</definedName>
    <definedName name="XRefCopy37Row">#REF!</definedName>
    <definedName name="BExIRRBGTY01OQOI3U5SW59RFDFI">#REF!</definedName>
    <definedName name="XRefPaste25Row">#REF!</definedName>
    <definedName localSheetId="1" name="BEx3KFXUAF6YXAA47B7Q6X9B3VGB">#REF!</definedName>
    <definedName localSheetId="1" name="BExB7ELT09HGDVO5BJC1ZY9D09GZ">#REF!</definedName>
    <definedName localSheetId="1" name="BEx01HY6E3GJ66ABU5ABN26V6Q13">#REF!</definedName>
    <definedName localSheetId="1" name="BEx3KJOMVOSFZVJUL3GKCNP6DQDS">#REF!</definedName>
    <definedName name="BExINP2H4KI05FRFV5PKZFE00HKO">#REF!</definedName>
    <definedName localSheetId="1" name="BExOIYCN8Z4JK3OOG86KYUCV0ME8">#REF!</definedName>
    <definedName localSheetId="1" name="BExGODR8ZSMUC11I56QHSZ686XV5">#REF!</definedName>
    <definedName localSheetId="1" name="BEx00GHLTYRH5N2S6P78YW1CD30N">#REF!</definedName>
    <definedName name="BExSHQD8KYLTQGDXIRKCHQQ7MKIH">#REF!</definedName>
    <definedName name="BExQDE1B6U2Q9B73KBENABP71YM1">#REF!</definedName>
    <definedName localSheetId="1" name="BExSG9X3DU845PNXYJGGLBQY2UHG">#REF!</definedName>
    <definedName name="BExO9J3A438976RXIUX5U9SU5T55">#REF!</definedName>
    <definedName name="BExIWG1W7XP9DFYYSZAIOSHM0QLQ">#REF!</definedName>
    <definedName localSheetId="1" name="XRefPaste133Row">#REF!</definedName>
    <definedName name="BEx9B8VR20E2CILU4CDQUQQ9ONXK">#REF!</definedName>
    <definedName localSheetId="1" name="BExEQ2PFE4N40LEPGDPS90WDL6BN">#REF!</definedName>
    <definedName name="BEx1QMQAHG3KQUK59DVM68SWKZIZ">#REF!</definedName>
    <definedName localSheetId="1" name="BExQ9ZLYHWABXAA9NJDW8ZS0UQ9P">#REF!</definedName>
    <definedName localSheetId="1" name="BExUEJGX3OQQP5KFRJSRCZ70EI9V">#REF!</definedName>
    <definedName name="BEx01PW5YQKEGAR8JDDI5OARYXDF">#REF!</definedName>
    <definedName name="BEx7EAZFO7YE0E2KFDBDYO6I16AG">#REF!</definedName>
    <definedName localSheetId="1" name="BExCYPRC5HJE6N2XQTHCT6NXGP8N">#REF!</definedName>
    <definedName localSheetId="1" name="BEx3U64YUOZ419BAJS2W78UMATAW">#REF!</definedName>
    <definedName localSheetId="1" name="BExVYQIXPEM6J4JVP78BRHIC05PV">#REF!</definedName>
    <definedName localSheetId="1" name="BEx7HWGE2CANG5M17X4C8YNC3N8F">#REF!</definedName>
    <definedName name="BExD0HALIN0JR4JTPGDEVAEE5EX5">#REF!</definedName>
    <definedName name="BExKR8RZSEHW184G0Z56B4EGNU72">#REF!</definedName>
    <definedName localSheetId="1" name="BExIZAECOEZGBAO29QMV14E6XDIV">#REF!</definedName>
    <definedName name="BExU4I148DA7PRCCISLWQ6ABXFK6">#REF!</definedName>
    <definedName localSheetId="1" name="XRefCopy121">#REF!</definedName>
    <definedName localSheetId="1" name="BExS8Z2W2QEC3MH0BZIYLDFQNUIP">#REF!</definedName>
    <definedName localSheetId="1" name="BExMF9UIGYMOAQK0ELUWP0S0HZZY">#REF!</definedName>
    <definedName name="BEx3OV8BH6PYNZT7C246LOAU9SVX">#REF!</definedName>
    <definedName name="BEx1IKRPW8MLB9Y485M1TL2IT9SH">#REF!</definedName>
    <definedName localSheetId="1" name="XRefCopy1Row">#REF!</definedName>
    <definedName name="BEx1YL3DJ7Y4AZ01ERCOGW0FJ26T">#REF!</definedName>
    <definedName localSheetId="1" name="BExGMCXCWEC9XNUOEMZ61TMI6CUO">#REF!</definedName>
    <definedName localSheetId="1" name="XRefPaste137Row">#REF!</definedName>
    <definedName name="BEx3JXCXCVBZJGV5VEG9MJEI01AL">#REF!</definedName>
    <definedName localSheetId="1" name="BExGTGVFIF8HOQXR54SK065A8M4K">#REF!</definedName>
    <definedName localSheetId="1" name="BExONRQ1BAA4F3TXP2MYQ4YCZ09S">#REF!</definedName>
    <definedName name="BExZN847WUWKRYTZWG9TCQZJS3OL">#REF!</definedName>
    <definedName name="BEx1Y2IGS2K95E1M51PEF9KJZ0KB">#REF!</definedName>
    <definedName name="XRefPaste11Row">#REF!</definedName>
    <definedName name="BExBCLMEPAN3XXX174TU8SS0627Q">#REF!</definedName>
    <definedName localSheetId="1" name="BEx5B4RHHX0J1BF2FZKEA0SPP29O">#REF!</definedName>
    <definedName name="BExIQ3OJ7M04XCY276IO0LJA5XUK">#REF!</definedName>
    <definedName localSheetId="1" name="BExTYPLA9N640MFRJJQPKXT7P88M">#REF!</definedName>
    <definedName name="BEx3SN56F03CPDRDA7LZ763V0N4I">#REF!</definedName>
    <definedName localSheetId="1" name="BExU42QVGY7TK39W1BIN6CDRG2OE">#REF!</definedName>
    <definedName name="XRefPaste124">#REF!</definedName>
    <definedName name="BExZUNARUJBIZ08VCAV3GEVBIR3D">#REF!</definedName>
    <definedName name="BExW3GB28STOMJUSZEIA7YKYNS4Y">#REF!</definedName>
    <definedName localSheetId="1" name="XRefPaste123">#REF!</definedName>
    <definedName name="BExXOHSAD2NSHOLLMZ2JWA4I3I1R">#REF!</definedName>
    <definedName name="BExU8UX9JX3XLB47YZ8GFXE0V7R2">#REF!</definedName>
    <definedName name="BExEWQ0M1N3KMKTDJ73H10QSG4W1">#REF!</definedName>
    <definedName localSheetId="1" name="BExIT1MK8TBAK3SNP36A8FKDQSOK">#REF!</definedName>
    <definedName localSheetId="1" name="BEx7741OUGLA0WJQLQRUJSL4DE00">#REF!</definedName>
    <definedName localSheetId="1" name="BExY07WSDH5QEVM7BJXJK2ZRAI1O">#REF!</definedName>
    <definedName localSheetId="1" name="BExW36V9N91OHCUMGWJQL3I5P4JK">#REF!</definedName>
    <definedName localSheetId="1" name="BExGLFIF7HCFSHNQHKEV6RY0WCO3">#REF!</definedName>
    <definedName name="BExAZRMWSONMCG9KDUM4KAQ7BONM">#REF!</definedName>
    <definedName name="XRefPaste131Row">#REF!</definedName>
    <definedName name="BExF52GTGP8MHGII4KJ8TJGR8W8U">#REF!</definedName>
    <definedName localSheetId="1" name="BExZK3FGPHH5H771U7D5XY7XBS6E">#REF!</definedName>
    <definedName localSheetId="1" name="XRefPaste32">#REF!</definedName>
    <definedName name="BExF4KHF04IWW4LQ95FHQPFE4Y9K">#REF!</definedName>
    <definedName localSheetId="1" name="BEx5G1A8TFN4C4QII35U9DKYNIS8">#REF!</definedName>
    <definedName name="BExZLKMK7LRK14S09WLMH7MXSQXM">#REF!</definedName>
    <definedName localSheetId="1" name="BExQ8ZCEDBOBJA3D9LDP5TU2WYGR">#REF!</definedName>
    <definedName localSheetId="1" name="BEx9BYSYW7QCPXS2NAVLFAU5Y2Z2">#REF!</definedName>
    <definedName name="BExW6EJPHAP1TWT380AZLXNHR22P">#REF!</definedName>
    <definedName localSheetId="1" name="BEx9871KU0N99P0900EAK69VFYT2">#REF!</definedName>
    <definedName localSheetId="1" name="BExTUJ53ANGZ3H1KDK4CR4Q0OD6P">#REF!</definedName>
    <definedName localSheetId="1" name="XRefPaste117">#REF!</definedName>
    <definedName localSheetId="1" name="BExB8U5N0D85YR8APKN3PPKG0FWP">#REF!</definedName>
    <definedName localSheetId="1" name="XRefPaste127Row">#REF!</definedName>
    <definedName name="BExOIWJVMJ6MG6JC4SPD1L00OHU1">#REF!</definedName>
    <definedName name="BEx1Z2RYHSVD1H37817SN93VMURZ">#REF!</definedName>
    <definedName localSheetId="1" name="BExF0LOEHV42P2DV7QL8O7HOQ3N9">#REF!</definedName>
    <definedName name="_Table2_In1">#REF!</definedName>
    <definedName name="BEx79JK3E6JO8MX4O35A5G8NZCC8">#REF!</definedName>
    <definedName name="BExQ4XJHD7EJCNH7S1MJDZJ2MNWG">#REF!</definedName>
    <definedName localSheetId="1" name="BExD2DMHH1HWXQ9W0YYMDP8AAX8Q">#REF!</definedName>
    <definedName localSheetId="1" name="BExU96M1J7P9DZQ3S9H0C12KGYTW">#REF!</definedName>
    <definedName name="XRefPaste127Row">#REF!</definedName>
    <definedName name="BExF6RR76KNVIXGJOVFO8GDILKGZ">#REF!</definedName>
    <definedName name="BEx91L8FLL5CWLA2CDHKCOMGVDZN">#REF!</definedName>
    <definedName localSheetId="1" name="BExD4JJSS3QDBLABCJCHD45SRNPI">#REF!</definedName>
    <definedName name="_8__123Graph_ACHART_1">#REF!</definedName>
    <definedName localSheetId="1" name="BEx587KFQ3VKCOCY1SA5F24PQGUI">#REF!</definedName>
    <definedName name="BEx1NUBX5VUYZFKQH69FN6BTLWCR">#REF!</definedName>
    <definedName localSheetId="1" name="BExS6GKQ96EHVLYWNJDWXZXUZW90">#REF!</definedName>
    <definedName localSheetId="1" name="BExKTQZGN8GI3XGSEXMPCCA3S19H">#REF!</definedName>
    <definedName name="XREF_COLUMN_24">#REF!</definedName>
    <definedName name="BExIXM5R87ZL3FHALWZXYCPHGX3E">#REF!</definedName>
    <definedName name="BExBA69ASGYRZW1G1DYIS9QRRTBN">#REF!</definedName>
    <definedName localSheetId="1" name="BEx1OLAZ915OGYWP0QP1QQWDLCRX">#REF!</definedName>
    <definedName localSheetId="1" name="BEx1RRC7X4NI1CU4EO5XYE2GVARJ">#REF!</definedName>
    <definedName localSheetId="1" name="BExOBM0I5L0MZ1G4H9MGMD87SBMZ">#REF!</definedName>
    <definedName name="BExKNBGV2IR3S7M0BX4810KZB4V3">#REF!</definedName>
    <definedName localSheetId="1" name="BExBA8I5D4R8R2PYQ1K16TWGTOEP">#REF!</definedName>
    <definedName localSheetId="1" name="BExDC7F818VN0S18ID7XRCRVYPJ4">#REF!</definedName>
    <definedName localSheetId="1" name="BExKSJTWG9L3FCX8FLK4EMUJMF27">#REF!</definedName>
    <definedName name="BExZXOOTRNUK8LGEAZ8ZCFW9KXQ1">#REF!</definedName>
    <definedName localSheetId="1" name="BExY3T89AUR83SOAZZ3OMDEJDQ39">#REF!</definedName>
    <definedName localSheetId="1" name="BExTZLICVKK4NBJFEGL270GJ2VQO">#REF!</definedName>
    <definedName localSheetId="1" name="BEx5BAWPMY0TL684WDXX6KKJLRCN">#REF!</definedName>
    <definedName name="BExD0RMWSB4TRECEHTH6NN4K9DFZ">#REF!</definedName>
    <definedName name="BExXXC7OZI33XZ03NRMEP7VRLQK4">#REF!</definedName>
    <definedName name="BExQFWJQXNQAW6LUMOEDS6KMJMYL">#REF!</definedName>
    <definedName localSheetId="1" name="BExXYLBHANUXC5FCTDDTGOVD3GQS">#REF!</definedName>
    <definedName localSheetId="1" name="BExOKU8GMLOCNVORDE329819XN67">#REF!</definedName>
    <definedName name="BExIVNVNJX9BYDLC88NG09YF5XQ6">#REF!</definedName>
    <definedName localSheetId="1" name="BEx3K4EII7GU1CG0BN7UL15M6J8Z">#REF!</definedName>
    <definedName localSheetId="1" name="BExD1OAU9OXQAZA4D70HP72CU6GB">#REF!</definedName>
    <definedName localSheetId="1" name="BExXR46U23CRRBV6IZT982MAEQKI">#REF!</definedName>
    <definedName name="XRefCopy29Row">#REF!</definedName>
    <definedName localSheetId="1" name="BExKQM5GJ1ZN5REKFE7YVBQ0KXWF">#REF!</definedName>
    <definedName name="XRefPaste111Row">#REF!</definedName>
    <definedName localSheetId="1" name="BExSEJKZLX37P3V33TRTFJ30BFRK">#REF!</definedName>
    <definedName name="XRefPaste101">#REF!</definedName>
    <definedName localSheetId="1" name="BExZQ37OVBR25U32CO2YYVPZOMR5">#REF!</definedName>
    <definedName name="BExONRQ1BAA4F3TXP2MYQ4YCZ09S">#REF!</definedName>
    <definedName name="BEx5G86DZL1VYUX6KWODAP3WFAWP">#REF!</definedName>
    <definedName localSheetId="1" name="IQRMAG14">#REF!</definedName>
    <definedName name="BExQCKTD8AT0824LGWREXM1B5D1X">#REF!</definedName>
    <definedName name="BEx7CCPC6R1KQQZ2JQU6EFI1G0RM">#REF!</definedName>
    <definedName localSheetId="1" name="XRefCopy42">#REF!</definedName>
    <definedName localSheetId="1" name="BExEW68M9WL8214QH9C7VCK7BN08">#REF!</definedName>
    <definedName name="BEx3M1MR1K1NQD03H74BFWOK4MWQ">#REF!</definedName>
    <definedName localSheetId="1" name="BExMIL4I2GE866I25CR5JBLJWJ6A">#REF!</definedName>
    <definedName name="BEx3O85IKWARA6NCJOLRBRJFMEWW">#REF!</definedName>
    <definedName name="BExQH0UURAJ13AVO5UI04HSRGVYW">#REF!</definedName>
    <definedName name="BEx3GPDH2AH4QKT4OOSN563XUHBD">#REF!</definedName>
    <definedName name="BExUA5O923FFNEBY8BPO1TU3QGBM">#REF!</definedName>
    <definedName localSheetId="1" name="BExU66KMFBAP8JCVG9VM1RD1TNFF">#REF!</definedName>
    <definedName localSheetId="1" name="BExETA3B1FCIOA80H94K90FWXQKE">#REF!</definedName>
    <definedName name="BEx5CUNFOO4YDFJ22HCMI2QKIGKM">#REF!</definedName>
    <definedName name="BEx5MLQZM68YQSKARVWTTPINFQ2C">#REF!</definedName>
    <definedName name="_26__123Graph_BCHART_3">#REF!</definedName>
    <definedName name="BEx1PLF2CFSXBZPVI6CJ534EIJDN">#REF!</definedName>
    <definedName name="BExMBK6ISK3U7KHZKUJXIDKGF6VW">#REF!</definedName>
    <definedName name="BExW967733Q8RAJOHR2GJ3HO8JIW">#REF!</definedName>
    <definedName name="BExIIY37NEVU2LGS1JE4VR9AN6W4">#REF!</definedName>
    <definedName name="BExZVM7OZWPPRH5YQW50EYMMIW1A">#REF!</definedName>
    <definedName name="XRefCopy34Row">#REF!</definedName>
    <definedName name="BExB58JDIHS42JZT9DJJMKA8QFCO">#REF!</definedName>
    <definedName localSheetId="1" name="BExBEC9ATLQZF86W1M3APSM4HEOH">#REF!</definedName>
    <definedName name="BExGV2EVT380QHD4AP2RL9MR8L5L">#REF!</definedName>
    <definedName name="BEx1NO6TXZVOGCUWCCRTXRXWW0XL">#REF!</definedName>
    <definedName name="BExEV6KNTQOCFD7GV726XQEVQ7R6">#REF!</definedName>
    <definedName localSheetId="1" name="BExMFLDTMRTCHKA37LQW67BG8D5C">#REF!</definedName>
    <definedName localSheetId="1" name="BEx7H14XCXH7WEXEY1HVO53A6AGH">#REF!</definedName>
    <definedName name="BExD4F1WTKT3H0N9MF4H1LX7MBSY">#REF!</definedName>
    <definedName localSheetId="1" name="BEx7HRCZE3CVGON1HV07MT5MNDZ3">#REF!</definedName>
    <definedName name="BEx1N3CUJ3UX61X38ZAJVPEN4KMC">#REF!</definedName>
    <definedName localSheetId="1" name="BExGS69P9FFTEOPDS0MWFKF45G47">#REF!</definedName>
    <definedName name="BExQIBWPAXU7HJZLKGJZY3EB7MIS">#REF!</definedName>
    <definedName name="BExW3FEO8FI8N6AGQKYEG4SQVJWB">#REF!</definedName>
    <definedName name="BEx5OP9Y43F99O2IT69MKCCXGL61">#REF!</definedName>
    <definedName localSheetId="1" name="BExOHNAO5UDXSO73BK2ARHWKS90Y">#REF!</definedName>
    <definedName localSheetId="1" name="BEx7BPXFZXJ79FQ0E8AQE21PGVHA">#REF!</definedName>
    <definedName name="BExXTOCF78J7WY6FOVBRY1N2RBBR">#REF!</definedName>
    <definedName name="BExIS77BJDDK18PGI9DSEYZPIL7P">#REF!</definedName>
    <definedName name="BExOH9ICZ13C1LAW8OTYTR9S7ZP3">#REF!</definedName>
    <definedName name="BExW6G1PJ38H10DVLL8WPQ736OEB">#REF!</definedName>
    <definedName name="BExETA3B1FCIOA80H94K90FWXQKE">#REF!</definedName>
    <definedName name="BExTXT812NQT8GAEGH738U29BI0D">#REF!</definedName>
    <definedName localSheetId="1" name="BExVZNXWS91RD7NXV5NE2R3C8WW7">#REF!</definedName>
    <definedName name="BExXMT8T5Z3M2JBQN65X2LKH0YQI">#REF!</definedName>
    <definedName localSheetId="1" name="BEx9HQ1RKG08K54UGKJBPEL4FBM8">#REF!</definedName>
    <definedName name="BEx1PMWZB2DO6EM9BKLUICZJ65HD">#REF!</definedName>
    <definedName name="BExGT0DZJB6LSF6L693UUB9EY1VQ">#REF!</definedName>
    <definedName localSheetId="1" name="_35__123Graph_CHO_MPRICE">#REF!</definedName>
    <definedName localSheetId="1" name="BExGQPO7ENFEQC0NC6MC9OZR2LHY">#REF!</definedName>
    <definedName name="XRefPaste38">#REF!</definedName>
    <definedName localSheetId="1" name="BExZQ7PJU07SEJMDX18U9YVDC2GU">#REF!</definedName>
    <definedName name="XRefPaste16Row">#REF!</definedName>
    <definedName name="BEx5CPEKNSJORIPFQC2E1LTRYY8L">#REF!</definedName>
    <definedName localSheetId="1" name="BExIXM5R87ZL3FHALWZXYCPHGX3E">#REF!</definedName>
    <definedName localSheetId="1" name="XRefPaste108">#REF!</definedName>
    <definedName localSheetId="1" name="BExY2Q4B5FUDA5VU4VRUHX327QN0">#REF!</definedName>
    <definedName localSheetId="1" name="BExCSSDG3TM6TPKS19E9QYJEELZ6">#REF!</definedName>
    <definedName localSheetId="1" name="BExB58JDIHS42JZT9DJJMKA8QFCO">#REF!</definedName>
    <definedName localSheetId="1" name="BExIJ3160YCWGAVEU0208ZGXXG3P">#REF!</definedName>
    <definedName name="BExXQCGQGGYSI0LTRVR73MUO50AW">#REF!</definedName>
    <definedName name="XRefPaste68">#REF!</definedName>
    <definedName name="BExY5S3XD1NJT109CV54IFOHVLQ6">#REF!</definedName>
    <definedName name="BEx3DCQU9PBRXIMLO62KS5RLH447">#REF!</definedName>
    <definedName name="XRefPaste69">#REF!</definedName>
    <definedName localSheetId="1" name="BExINIMK8XC3JOBT2EXYFHHH52H0">#REF!</definedName>
    <definedName localSheetId="1" name="BExF7QO41X2A2SL8UXDNP99GY7U9">#REF!</definedName>
    <definedName name="XRefPaste14Row">#REF!</definedName>
    <definedName localSheetId="1" name="XRefPaste139">#REF!</definedName>
    <definedName localSheetId="1" name="BExSDSGM203BJTNS9MKCBX453HMD">#REF!</definedName>
    <definedName localSheetId="1" name="BEx90VGH5H09ON2QXYC9WIIEU98T">#REF!</definedName>
    <definedName localSheetId="1" name="BEx5DADTZJRS1I9JB7X27YKOWM5T">#REF!</definedName>
    <definedName name="BExY4XOVTTNVZ577RLIEC7NZQFIX">#REF!</definedName>
    <definedName localSheetId="1" name="BExZW5UARC8W9AQNLJX2I5WQWS5F">#REF!</definedName>
    <definedName name="BExQGSBB6MJWDW7AYWA0MSFTXKRR">#REF!</definedName>
    <definedName localSheetId="1" name="BExGVWDUGFUW9ZCOL9P24KF7NIF7">#REF!</definedName>
    <definedName localSheetId="1" name="BEx3GKFH64MKQX61S7DYTZ15JCPY">#REF!</definedName>
    <definedName localSheetId="1" name="BEx3RYKLC3QQO3XTUN7BEW2AQL98">#REF!</definedName>
    <definedName localSheetId="1" name="BEx3EHCSERZ2O2OAG8Y95UPG2IY9">#REF!</definedName>
    <definedName localSheetId="1" name="BExGR9ATP2LVT7B9OCPSLJ11H9SX">#REF!</definedName>
    <definedName name="BExZX2T6ZT2DZLYSDJJBPVIT5OK2">#REF!</definedName>
    <definedName localSheetId="1" name="BEx755GRRD9BL27YHLH5QWIYLWB7">#REF!</definedName>
    <definedName name="XRefCopy79">#REF!</definedName>
    <definedName localSheetId="1" name="BExIOFL8Y5O61VLKTB4H20IJNWS1">#REF!</definedName>
    <definedName localSheetId="1" name="BExIVNVNJX9BYDLC88NG09YF5XQ6">#REF!</definedName>
    <definedName localSheetId="1" name="BExUBCDVZIEA7YT0LPSMHL5ZSERQ">#REF!</definedName>
    <definedName localSheetId="1" name="DFSGLMÇLKSDF">#REF!</definedName>
    <definedName localSheetId="1" name="BEx5C2BWFW6SHZBFDEISKGXHZCQW">#REF!</definedName>
    <definedName name="BExIORFDXP4AVIEBLSTZ8ETSXMNM">#REF!</definedName>
    <definedName localSheetId="1" name="XRefCopy6">#REF!</definedName>
    <definedName name="BExUAZSQ9VIU4HGIICPSJV5YM3FU">#REF!</definedName>
    <definedName localSheetId="1" name="BExERWCEBKQRYWRQLYJ4UCMMKTHG">#REF!</definedName>
    <definedName localSheetId="1" name="BExD623C9LRX18BE0W2V6SZLQUXX">#REF!</definedName>
    <definedName localSheetId="1" name="BExMQGXSLPT4A6N47LE6FBVHWBOF">#REF!</definedName>
    <definedName localSheetId="1" name="BExOJXEUJJ9SYRJXKYYV2NCCDT2R">#REF!</definedName>
    <definedName name="BExW2H3C8WJSBW5FGTFKVDVJC4CL">#REF!</definedName>
    <definedName localSheetId="1" name="BEx5MVXTKNBXHNWTL43C670E4KXC">#REF!</definedName>
    <definedName localSheetId="1" name="XRefPaste33Row">#REF!</definedName>
    <definedName localSheetId="1" name="BExEYLG9FL9V1JPPNZ3FUDNSEJ4V">#REF!</definedName>
    <definedName name="BEx7IXGU74GE5E4S6W4Z13AR092Y">#REF!</definedName>
    <definedName localSheetId="1" name="BEx3AOOVM42G82TNF53W0EKXLUSI">#REF!</definedName>
    <definedName name="BExUEFKOQWXXGRNLAOJV2BJ66UB8">#REF!</definedName>
    <definedName name="BExILAAXRTRAD18K74M6MGUEEPUM">#REF!</definedName>
    <definedName localSheetId="1" name="BExMM5UCOT2HSSN0ZIPZW55GSOVO">#REF!</definedName>
    <definedName name="BExGMPIIP8GKML2VVA8OEFL43NCS">#REF!</definedName>
    <definedName name="XRefPaste139Row">#REF!</definedName>
    <definedName name="XREF_COLUMN_44">#REF!</definedName>
    <definedName name="BExZR7TL98P2PPUVGIZYR5873DWW">#REF!</definedName>
    <definedName name="BExCU0A1V6NMZQ9ASYJ8QIVQ5UR2">#REF!</definedName>
    <definedName name="BEx3RYKLC3QQO3XTUN7BEW2AQL98">#REF!</definedName>
    <definedName name="XRefCopy60">#REF!</definedName>
    <definedName localSheetId="1" name="BExGX7FTB1CKAT5HUW6H531FIY6I">#REF!</definedName>
    <definedName localSheetId="1" name="XRefCopy16">#REF!</definedName>
    <definedName localSheetId="1" name="BExETR0YRMOR63E6DHLEHV9QVVON">#REF!</definedName>
    <definedName localSheetId="1" name="XRefPaste24Row">#REF!</definedName>
    <definedName name="BEx5B4RHHX0J1BF2FZKEA0SPP29O">#REF!</definedName>
    <definedName name="BExGYC718HTZ80PNKYPVIYGRJVF6">#REF!</definedName>
    <definedName name="BEx58XHO7ZULLF2EUD7YIS0MGQJ5">#REF!</definedName>
    <definedName name="XRefCopy75Row">#REF!</definedName>
    <definedName name="BExQF1OEB07CRAP6ALNNMJNJ3P2D">#REF!</definedName>
    <definedName localSheetId="1" name="BEx9CCQRMYYOGIOYTOM73VKDIPS1">#REF!</definedName>
    <definedName localSheetId="1" name="BExCS7ZPMHFJ4UJDAL8CQOLSZ13B">#REF!</definedName>
    <definedName localSheetId="1" name="BExVVCEED4JEKF59OV0G3T4XFMFO">#REF!</definedName>
    <definedName name="XRefCopy61">#REF!</definedName>
    <definedName name="BExXW2YIM2MYBSHRIX0RP9D4PRMN">#REF!</definedName>
    <definedName localSheetId="1" name="BExF1US4ZIQYSU5LBFYNRA9N0K2O">#REF!</definedName>
    <definedName localSheetId="1" name="BExMPAJ5AJAXGKGK3F6H3ODS6RF4">#REF!</definedName>
    <definedName localSheetId="1" name="_44__123Graph_EHO_MPRICE">#REF!</definedName>
    <definedName name="BEx3JX23SYDIGOGM4Y0CQFBW8ZBV">#REF!</definedName>
    <definedName localSheetId="1" name="BEx1PLF2CFSXBZPVI6CJ534EIJDN">#REF!</definedName>
    <definedName localSheetId="1" name="BEx741WJHIJVXUX131SBXTVW8D71">#REF!</definedName>
    <definedName localSheetId="1" name="BExSAUTCT4P7JP57NOR9MTX33QJZ">#REF!</definedName>
    <definedName localSheetId="1" name="BExQ3PXOWSN8561ZR8IEY8ZASI3B">#REF!</definedName>
    <definedName localSheetId="1" name="BExH0M0FDN12YBOCKL3XL2Z7T7Y8">#REF!</definedName>
    <definedName name="BExQ8ABK6H1ADV2R2OYT8NFFYG2N">#REF!</definedName>
    <definedName name="XRefPaste75Row">#REF!</definedName>
    <definedName name="BEx7CO8T2XKC7GHDSYNAWTZ9L7YR">#REF!</definedName>
    <definedName name="BEx1L2OG1SDFK2TPXELJ77YP4NI2">#REF!</definedName>
    <definedName name="XRefPaste10Row">#REF!</definedName>
    <definedName localSheetId="1" name="BExQFC0M9KKFMQKPLPEO2RQDB7MM">#REF!</definedName>
    <definedName name="BExKJN5IF0VMDILJ5K8ZENF2QYV1">#REF!</definedName>
    <definedName name="BExVTCRV8FQ5U9OYWWL44N6KFNHU">#REF!</definedName>
    <definedName name="BExSD9VH6PF6RQ135VOEE08YXPAW">#REF!</definedName>
    <definedName name="BEx78QMXZ2P1ZB3HJ9O50DWHCMXR">#REF!</definedName>
    <definedName localSheetId="1" name="BExVXDZ63PUART77BBR5SI63TPC6">#REF!</definedName>
    <definedName name="BExZJS6RG34ODDY9HMZ0O34MEMSB">#REF!</definedName>
    <definedName localSheetId="1" name="BEx948ZFFQWVIDNG4AZAUGGGEB5U">#REF!</definedName>
    <definedName name="BExCS1EDDUEAEWHVYXHIP9I1WCJH">#REF!</definedName>
    <definedName localSheetId="1" name="BExMNKN5D1WEF2OOJVP6LZ6DLU3Y">#REF!</definedName>
    <definedName localSheetId="1" name="BEx5PHWB2C0D5QLP3BZIP3UO7DIZ">#REF!</definedName>
    <definedName name="BExCXILMURGYMAH6N5LF5DV6K3GM">#REF!</definedName>
    <definedName localSheetId="1" name="BEx7CW6NFRL2P4XWP0MWHIYA97KF">#REF!</definedName>
    <definedName localSheetId="1" name="BEx008P2NVFDLBHL7IZ5WTMVOQ1F">#REF!</definedName>
    <definedName name="BExS9FPRS2KRRCS33SE6WFNF5GYL">#REF!</definedName>
    <definedName name="XRefPaste108Row">#REF!</definedName>
    <definedName localSheetId="1" name="BExKQTXRG3ECU8NT47UR7643LO5G">#REF!</definedName>
    <definedName localSheetId="1" name="BEx7MAUI1JJFDIJGDW4RWY5384LY">#REF!</definedName>
    <definedName localSheetId="1" name="BExTZ8X5G9S3PA4FPSNK7T69W7QT">#REF!</definedName>
    <definedName name="BExU1NOPS09CLFZL1O31RAF9BQNQ">#REF!</definedName>
    <definedName name="BEx1HSLNWIW4S97ZBYY7I7M5YVH4">#REF!</definedName>
    <definedName name="BExOCKXFMOW6WPFEVX1I7R7FNDSS">#REF!</definedName>
    <definedName localSheetId="1" name="BExTXWIP2TFPTQ76NHFOB72NICRZ">#REF!</definedName>
    <definedName name="BExU3UNI9NR1RNZR07NSLSZMDOQQ">#REF!</definedName>
    <definedName localSheetId="1" name="BExCSMOFTXSUEC1T46LR1UPYRCX5">#REF!</definedName>
    <definedName localSheetId="1" name="BExSFYDRRTAZVPXRWUF5PDQ97WFF">#REF!</definedName>
    <definedName localSheetId="1" name="BEx9GY6BVFQGCLMOWVT6PIC9WP5X">#REF!</definedName>
    <definedName name="BExZOREMVSK4E5VSWM838KHUB8AI">#REF!</definedName>
    <definedName name="BEx5I8USVUB3JP4S9OXGMZVMOQXR">#REF!</definedName>
    <definedName name="BExXLQVPK2H3IF0NDDA5CT612EUK">#REF!</definedName>
    <definedName localSheetId="1" name="BExKV4AAUNNJL5JWD7PX6BFKVS6O">#REF!</definedName>
    <definedName name="BExCTYS2KX0QANOLT8LGZ9WV3S3T">#REF!</definedName>
    <definedName localSheetId="1" name="BExY5S3XD1NJT109CV54IFOHVLQ6">#REF!</definedName>
    <definedName name="BEx3QL4BGDLZ4B752FN18QOW18FR">#REF!</definedName>
    <definedName localSheetId="1" name="BExMPOBH04JMDO6Z8DMSEJZM4ANN">#REF!</definedName>
    <definedName name="BExU80I6AE5OU7P7F5V7HWIZBJ4P">#REF!</definedName>
    <definedName localSheetId="1" name="BExXY5QFG6QP94SFT3935OBM8Y4K">#REF!</definedName>
    <definedName name="BEx1WX04G0INSPPG9NTNR3DYR6PZ">#REF!</definedName>
    <definedName name="BEx3CKFCCPZZ6ROLAT5C1DZNIC1U">#REF!</definedName>
    <definedName name="BEx95TBVUWV7L7OMFMZDQEXGVHU6">#REF!</definedName>
    <definedName localSheetId="1" name="BExTZY8TDV4U7FQL7O10G6VKWKPJ">#REF!</definedName>
    <definedName localSheetId="1" name="BExIR8FQETPTQYW37DBVDWG3J4JW">#REF!</definedName>
    <definedName name="BExIP6V4XT45WQCCTF3R6GZ5P70Z">#REF!</definedName>
    <definedName localSheetId="1" name="BExU68IOM3CB3TACNAE9565TW7SH">#REF!</definedName>
    <definedName name="BExY180UKNW5NIAWD6ZUYTFEH8QS">#REF!</definedName>
    <definedName localSheetId="1" name="BEx3D9G6QTSPF9UYI4X0XY0VE896">#REF!</definedName>
    <definedName name="BExII1KN91Q7DLW0UB7W2TJ5ACT9">#REF!</definedName>
    <definedName localSheetId="1" name="BExQFGYIWDR4W0YF7XR6E4EWWJ02">#REF!</definedName>
    <definedName name="BExF3Q7NI90WT31QHYSJDIG0LLLJ">#REF!</definedName>
    <definedName name="BEx3Q7BZ9PUXK2RLIOFSIS9AHU1B">#REF!</definedName>
    <definedName localSheetId="1" name="BExZXUTYW1HWEEZ1LIX4OQWC7HL1">#REF!</definedName>
    <definedName name="BExQFVSPOSCCPF1TLJPIWYWYB8A9">#REF!</definedName>
    <definedName localSheetId="1" name="BExU5XVPARTFMRYHNUTBKDIL4UJN">#REF!</definedName>
    <definedName localSheetId="1" name="BExXQXG18PS8HGBOS03OSTQ0KEYC">#REF!</definedName>
    <definedName localSheetId="1" name="BExVVPFO2J7FMSRPD36909HN4BZJ">#REF!</definedName>
    <definedName name="BEx1JGE2YQWH8S25USOY08XVGO0D">#REF!</definedName>
    <definedName name="XRefCopy16">#REF!</definedName>
    <definedName name="XRefPaste128">#REF!</definedName>
    <definedName localSheetId="1" name="BExEVZSJWMZ5L2ZE7AZC57CXKW6T">#REF!</definedName>
    <definedName name="BExSFJ8ZAGQ63A4MVMZRQWLVRGQ5">#REF!</definedName>
    <definedName name="BEx5NV06L5J5IMKGOMGKGJ4PBZCD">#REF!</definedName>
    <definedName localSheetId="1" name="BExXTHLRNL82GN7KZY3TOLO508N7">#REF!</definedName>
    <definedName localSheetId="1" name="XRefPaste21">#REF!</definedName>
    <definedName name="BExY5515SJTJS3VM80M3YYR0WF37">#REF!</definedName>
    <definedName localSheetId="1" name="BExJ0YC98G37ML4N8FLP8D95EFRF">#REF!</definedName>
    <definedName localSheetId="1" name="XRefPaste123Row">#REF!</definedName>
    <definedName name="BExMF4G4IUPQY1Y5GEY5N3E04CL6">#REF!</definedName>
    <definedName localSheetId="1" name="BExQ6POH065GV0I74XXVD0VUPBJW">#REF!</definedName>
    <definedName name="BExIPDLT8JYAMGE5HTN4D1YHZF3V">#REF!</definedName>
    <definedName name="BExY5EX6NJFK8W754ZVZDN5DS04K">#REF!</definedName>
    <definedName name="BExQ5UICMGTMK790KTLK49MAGXRC">#REF!</definedName>
    <definedName localSheetId="1" name="BExXSVQ2WOJJ73YEO8Q2FK60V4G8">#REF!</definedName>
    <definedName localSheetId="1" name="BExMEHTL5VNAGS4Z9YPDMDWHDCBZ">#REF!</definedName>
    <definedName localSheetId="1" name="BEx1PBZ4BEFIPGMQXT9T8S4PZ2IM">#REF!</definedName>
    <definedName name="BExY6Q9YY7LW745GP7CYOGGSPHGE">#REF!</definedName>
    <definedName name="_42__123Graph_DOP75_25PRICE">#REF!</definedName>
    <definedName name="BExOJ3AKZ9BCBZT3KD8WMSLK6MN2">#REF!</definedName>
    <definedName localSheetId="1" name="BExGMKPW2HPKN0M0XKF3AZ8YP0D6">#REF!</definedName>
    <definedName localSheetId="1" name="BExGX6U988MCFIGDA1282F92U9AA">#REF!</definedName>
    <definedName name="BExMHOWPB34KPZ76M2KIX2C9R2VB">#REF!</definedName>
    <definedName name="BExBC78HXWXHO3XAB6E8NVTBGLJS">#REF!</definedName>
    <definedName localSheetId="1" name="BExTUW10U40QCYGHM5NJ3YR1O5SP">#REF!</definedName>
    <definedName name="BExOGT6D0LJ3C22RDW8COECKB1J5">#REF!</definedName>
    <definedName localSheetId="1" name="BEx1NS8EU5P9FQV3S0WRTXI5L361">#REF!</definedName>
    <definedName localSheetId="1" name="BExD1Y1JV61416YA1XRQHKWPZIE7">#REF!</definedName>
    <definedName name="BEx1JXBM5W4YRWNQ0P95QQS6JWD6">#REF!</definedName>
    <definedName localSheetId="1" name="BEx9J6CH5E7YZPER7HXEIOIKGPCA">#REF!</definedName>
    <definedName name="BEx1WMD1LWPWRIK6GGAJRJAHJM8I">#REF!</definedName>
    <definedName localSheetId="1" name="BExXXC7OZI33XZ03NRMEP7VRLQK4">#REF!</definedName>
    <definedName localSheetId="1" name="BEx3NLIZ7PHF2XE59ECZ3MD04ZG1">#REF!</definedName>
    <definedName name="__30__123Graph_BCHART_9">#REF!</definedName>
    <definedName localSheetId="1" name="BExMDANV66W9T3XAXID40XFJ0J93">#REF!</definedName>
    <definedName localSheetId="1" name="BExZL6E4YVXRUN7ZGF2BIGIXFR8K">#REF!</definedName>
    <definedName localSheetId="1" name="BEx3G201R8NLJ6FIHO2QS0SW9QVV">#REF!</definedName>
    <definedName localSheetId="1" name="XRefPaste8Row">#REF!</definedName>
    <definedName localSheetId="1" name="BExMK2RTXN4QJWEUNX002XK8VQP8">#REF!</definedName>
    <definedName localSheetId="1" name="BExF6FGUF393KTMBT40S5BYAFG00">#REF!</definedName>
    <definedName localSheetId="1" name="BExIP6V4XT45WQCCTF3R6GZ5P70Z">#REF!</definedName>
    <definedName localSheetId="1" name="BExQBEER6CRCRPSSL61S0OMH57ZA">#REF!</definedName>
    <definedName localSheetId="1" name="BEx97NPQBACJVD9K1YXI08RTW9E2">#REF!</definedName>
    <definedName name="BEx9C590HJ2O31IWJB73C1HR74AI">#REF!</definedName>
    <definedName localSheetId="1" name="BExZXOOTRNUK8LGEAZ8ZCFW9KXQ1">#REF!</definedName>
    <definedName localSheetId="1" name="BExKGJD3U3ADZILP20U3EURP0UQP">#REF!</definedName>
    <definedName localSheetId="1" name="XRefCopy78Row">#REF!</definedName>
    <definedName localSheetId="1" name="BExGUDDZXFFQHAF4UZF8ZB1HO7H6">#REF!</definedName>
    <definedName name="XRefCopy14">#REF!</definedName>
    <definedName localSheetId="1" name="BEx921PNZ46VORG2VRMWREWIC0SE">#REF!</definedName>
    <definedName name="BExQI85V9TNLDJT5LTRZS10Y26SG">#REF!</definedName>
    <definedName name="BExOEBKG55EROA2VL360A06LKASE">#REF!</definedName>
    <definedName name="BExZOVR745T5P1KS9NV2PXZPZVRG">#REF!</definedName>
    <definedName localSheetId="1" name="BExXXZQNZY6IZI45DJXJK0MQZWA7">#REF!</definedName>
    <definedName name="XRefPaste37Row">#REF!</definedName>
    <definedName localSheetId="1" name="XRefPaste17Row">#REF!</definedName>
    <definedName localSheetId="1" name="BEx7EQKHX7GZYOLXRDU534TT4H64">#REF!</definedName>
    <definedName localSheetId="1" name="BExZWX45URTK9KYDJHEXL1OTZ833">#REF!</definedName>
    <definedName localSheetId="1" name="XRefPaste128Row">#REF!</definedName>
    <definedName localSheetId="1" name="BEx9CDHME5S7TYWMJ9TVU51PT928">#REF!</definedName>
    <definedName localSheetId="1" name="BEx75T55F7GML8V1DMWL26WRT006">#REF!</definedName>
    <definedName localSheetId="1" name="BExD50MT3M6XZLNUP9JL93EG6D9R">#REF!</definedName>
    <definedName name="BExME88DH5DUKMUFI9FNVECXFD2E">#REF!</definedName>
    <definedName localSheetId="1" name="BExGLC7R4C33RO0PID97ZPPVCW4M">#REF!</definedName>
    <definedName localSheetId="1" name="BExO94UTJKQQ7TJTTJRTSR70YVJC">#REF!</definedName>
    <definedName name="BExGLTARRL0J772UD2TXEYAVPY6E">#REF!</definedName>
    <definedName name="XRefPaste7">#REF!</definedName>
    <definedName name="BExB719SGNX4Y8NE6JEXC555K596">#REF!</definedName>
    <definedName localSheetId="1" name="BEx93M7FSHP50OG34A4W8W8DF12U">#REF!</definedName>
    <definedName name="XREF_COLUMN_40">#REF!</definedName>
    <definedName name="BExGPHGT5KDOCMV2EFS4OVKTWBRD">#REF!</definedName>
    <definedName localSheetId="1" name="BExEV6KNTQOCFD7GV726XQEVQ7R6">#REF!</definedName>
    <definedName name="XRefCopy118">#REF!</definedName>
    <definedName name="BExVY954UOEVQEIC5OFO4NEWVKAQ">#REF!</definedName>
    <definedName localSheetId="1" name="BExOMU0A6XMY48SZRYL4WQZD13BI">#REF!</definedName>
    <definedName name="BExMK2RTXN4QJWEUNX002XK8VQP8">#REF!</definedName>
    <definedName localSheetId="1" name="BExIGWT86FPOEYTI8GXCGU5Y3KGK">#REF!</definedName>
    <definedName localSheetId="1" name="BExQ8A0RPE3IMIFIZLUE7KD2N21W">#REF!</definedName>
    <definedName localSheetId="1" name="BExZW7HRGN6A9YS41KI2B2UUMJ7X">#REF!</definedName>
    <definedName localSheetId="1" name="fjjashfja">#REF!</definedName>
    <definedName name="BEx3EUUAX947Q5N6MY6W0KSNY78Y">#REF!</definedName>
    <definedName name="BEx97YNGGDFIXHTMGFL2IHAQX9MI">#REF!</definedName>
    <definedName name="BEx1OX544IO9FQJI7YYQGZCEHB3O">#REF!</definedName>
    <definedName name="BEx3U64YUOZ419BAJS2W78UMATAW">#REF!</definedName>
    <definedName name="BExONQZ5MLI4HQT23OM79OC1TEQV">#REF!</definedName>
    <definedName name="BEx7C93VR7SYRIJS1JO8YZKSFAW9">#REF!</definedName>
    <definedName name="XRefPaste112Row">#REF!</definedName>
    <definedName localSheetId="1" name="BExQDB6VCHN8PNX8EA6JNIEQ2JC2">#REF!</definedName>
    <definedName localSheetId="1" name="BExU5TDWM8NNDHYPQ7OQODTQ368A">#REF!</definedName>
    <definedName localSheetId="1" name="BExKR8RZSEHW184G0Z56B4EGNU72">#REF!</definedName>
    <definedName name="BExQ29C73XR33S3668YYSYZAIHTG">#REF!</definedName>
    <definedName localSheetId="1" name="BEx5HJZ9FAVNZSSBTAYRPZDYM9NU">#REF!</definedName>
    <definedName name="BEx5C8GZQK13G60ZM70P63I5OS0L">#REF!</definedName>
    <definedName name="XREF_COLUMN_20">#REF!</definedName>
    <definedName name="BExF3QD55TIY1MSBSRK9TUJKBEWO">#REF!</definedName>
    <definedName localSheetId="1" name="BExCYUK0I3UEXZNFDW71G6Z6D8XR">#REF!</definedName>
    <definedName name="BExIZ4K0EZJK6PW3L8SVKTJFSWW9">#REF!</definedName>
    <definedName localSheetId="1" name="_38__123Graph_COP75_25RETURN">#REF!</definedName>
    <definedName name="BEx5DADTZJRS1I9JB7X27YKOWM5T">#REF!</definedName>
    <definedName name="BEx3TPCSI16OAB2L9M9IULQMQ9J9">#REF!</definedName>
    <definedName name="BExXN6QAP8UJQVN4R4BQKPP4QK35">#REF!</definedName>
    <definedName localSheetId="1" name="BExZQJJMGU5MHQOILGXGJPAQI5XI">#REF!</definedName>
    <definedName localSheetId="1" name="BExBAZ13D3F1DVJQ6YJ8JGUYEYJE">#REF!</definedName>
    <definedName name="BExSG9X3DU845PNXYJGGLBQY2UHG">#REF!</definedName>
    <definedName name="BExU1IL9AOHFO85BZB6S60DK3N8H">#REF!</definedName>
    <definedName name="BEx3M4H77MYUKOOD31H9F80NMVK8">#REF!</definedName>
    <definedName localSheetId="1" name="BExMCS8EF2W3FS9QADNKREYSI8P0">#REF!</definedName>
    <definedName name="BExMI6QQ20XHD0NWJUN741B37182">#REF!</definedName>
    <definedName localSheetId="1" name="BExVTTJVTNRSBHBTUZ78WG2JM5MK">#REF!</definedName>
    <definedName localSheetId="1" name="BExKSFMOMSZYDE0WNC94F40S6636">#REF!</definedName>
    <definedName name="XRefPaste107">#REF!</definedName>
    <definedName name="BExMIV0KC8555D5E42ZGWG15Y0MO">#REF!</definedName>
    <definedName name="BExXO278QHQN8JDK5425EJ615ECC">#REF!</definedName>
    <definedName localSheetId="1" name="BExD73USXVADC7EHGHVTQNCT06ZA">#REF!</definedName>
    <definedName localSheetId="1" name="BEx5OP9Y43F99O2IT69MKCCXGL61">#REF!</definedName>
    <definedName name="_51__123Graph_FOP75_25RETURN">#REF!</definedName>
    <definedName name="BExGNDSIMTHOCXXG6QOGR6DA8SGG">#REF!</definedName>
    <definedName name="XRefPaste12">#REF!</definedName>
    <definedName name="BExIYP9Q6FV9T0R9G3UDKLS4TTYX">#REF!</definedName>
    <definedName localSheetId="1" name="BExMBC35WKQY5CWQJLV4D05O6971">#REF!</definedName>
    <definedName name="BExW937AT53OZQRHNWQZ5BVH24IE">#REF!</definedName>
    <definedName localSheetId="1" name="BEx3IYAH2DEBFWO8F94H4MXE3RLY">#REF!</definedName>
    <definedName name="Swvu.Fabio.">#REF!</definedName>
    <definedName name="BExEW0JL1GFFCXMDGW54CI7Y8FZN">#REF!</definedName>
    <definedName name="BExS7TKQYLRZGM93UY3ZJZJBQNFJ">#REF!</definedName>
    <definedName localSheetId="1" name="BExD7GAIGULTB3YHM1OS9RBQOTEC">#REF!</definedName>
    <definedName localSheetId="1" name="BExQ7CB046NVPF9ZXDGA7OXOLSLX">#REF!</definedName>
    <definedName localSheetId="1" name="BExXZFVV4YB42AZ3H1I40YG3JAPU">#REF!</definedName>
    <definedName name="BExS3MTQ75VBXDGEBURP6YT8RROE">#REF!</definedName>
    <definedName localSheetId="1" name="XREF_COLUMN_11">#REF!</definedName>
    <definedName localSheetId="1" name="XRefCopy117">#REF!</definedName>
    <definedName localSheetId="1" name="XREF_COLUMN_40">#REF!</definedName>
    <definedName localSheetId="1" name="BExVT3MPE8LQ5JFN3HQIFKSQ80U4">#REF!</definedName>
    <definedName name="BExJ0DYJWXGE7DA39PYL3WM05U9O">#REF!</definedName>
    <definedName name="BExD6CQA7UMJBXV7AIFAIHUF2ICX">#REF!</definedName>
    <definedName name="BExKFYJC4EVEV54F82K6VKP7Q3OU">#REF!</definedName>
    <definedName localSheetId="1" name="BExB0WE4PI3NOBXXVO9CTEN4DIU2">#REF!</definedName>
    <definedName name="BEx79OCP4HQ6XP8EWNGEUDLOZBBS">#REF!</definedName>
    <definedName name="BEx5JHCZJ8G6OOOW6EF3GABXKH6F">#REF!</definedName>
    <definedName localSheetId="1" name="BExU7MF1ZVPDHOSMCAXOSYICHZ4I">#REF!</definedName>
    <definedName localSheetId="1" name="_24__123Graph_BCHART_1">#REF!</definedName>
    <definedName localSheetId="1" name="BEx1I4QKTILCKZUSOJCVZN7SNHL5">#REF!</definedName>
    <definedName localSheetId="1" name="BExB16VQY0O0RLZYJFU3OFEONVTE">#REF!</definedName>
    <definedName name="BExMPGZ848E38FUH1JBQN97DGWAT">#REF!</definedName>
    <definedName name="BExMMQIUVPCOBISTEJJYNCCLUCPY">#REF!</definedName>
    <definedName localSheetId="1" name="BExUD9WX9BWK72UWVSLYZJLAY5VY">#REF!</definedName>
    <definedName localSheetId="1" name="BExMC8AZUTX8LG89K2JJR7ZG62XX">#REF!</definedName>
    <definedName localSheetId="1" name="BExU3UNI9NR1RNZR07NSLSZMDOQQ">#REF!</definedName>
    <definedName name="BExY2IXBR1SGYZH08T7QHKEFS8HA">#REF!</definedName>
    <definedName localSheetId="1" name="XRefCopy17Row">#REF!</definedName>
    <definedName name="_44__123Graph_EHO_MPRICE">#REF!</definedName>
    <definedName name="BExSHVGPIAHXI97UBLI9G4I4M29F">#REF!</definedName>
    <definedName localSheetId="1" name="BExOBYAVUCQ0IGM0Y6A75QHP0Q1A">#REF!</definedName>
    <definedName name="BExXZOVPCEP495TQSON6PSRQ8XCY">#REF!</definedName>
    <definedName localSheetId="1" name="BEx5FVQPPEU32CPNV9RRQ9MNLLVE">#REF!</definedName>
    <definedName name="BEx5I9GDQSYIAL65UQNDMNFQCS9Y">#REF!</definedName>
    <definedName localSheetId="1" name="BExUA6Q4K25VH452AQ3ZIRBCMS61">#REF!</definedName>
    <definedName name="BExINI6A7H3KSFRFA6UBBDPKW37F">#REF!</definedName>
    <definedName name="BExMMV0P6P5YS3C35G0JYYHI7992">#REF!</definedName>
    <definedName localSheetId="1" name="BExVW3YV5XGIVJ97UUPDJGJ2P15B">#REF!</definedName>
    <definedName name="_32__123Graph_BOP75_25RETURN">#REF!</definedName>
    <definedName localSheetId="1" name="BExS5L3TGB8JVW9ROYWTKYTUPW27">#REF!</definedName>
    <definedName localSheetId="1" name="BExU4GDVLPUEWBA4MRYRTQAUNO7B">#REF!</definedName>
    <definedName localSheetId="1" name="BEx1U7WFO8OZKB1EBF4H386JW91L">#REF!</definedName>
    <definedName localSheetId="1" name="XRefPaste127">#REF!</definedName>
    <definedName name="BExGZP1PWGFKVVVN4YDIS22DZPCR">#REF!</definedName>
    <definedName name="BExZVLM4T9ORS4ZWHME46U4Q103C">#REF!</definedName>
    <definedName name="BExMBC35WKQY5CWQJLV4D05O6971">#REF!</definedName>
    <definedName localSheetId="1" name="XRefPaste28Row">#REF!</definedName>
    <definedName localSheetId="1" name="BExCVV44WY5807WGMTGKPW0GT256">#REF!</definedName>
    <definedName name="XRefPaste56Row">#REF!</definedName>
    <definedName name="BExGXJ9W5JU7TT9S0BKL5Y6VVB39">#REF!</definedName>
    <definedName localSheetId="1" name="BExEPN9VIYI0FVL0HLZQXJFO6TT0">#REF!</definedName>
    <definedName localSheetId="1" name="BEx93RWFAF6YJGYUTITVM445C02U">#REF!</definedName>
    <definedName name="BEx3RV4E1WT43SZBUN09RTB8EK1O">#REF!</definedName>
    <definedName name="BExXZHJ9T2JELF12CHHGD54J1B0C">#REF!</definedName>
    <definedName name="BExEWO7STL7HNZSTY8VQBPTX1WK6">#REF!</definedName>
    <definedName localSheetId="1" name="BExOI5VMTHH7Y8MQQ1N635CHYI0P">#REF!</definedName>
    <definedName name="BExXUQEQBF6FI240ZGIF9YXZSRAU">#REF!</definedName>
    <definedName name="BExCVKGZXE0I9EIXKBZVSGSEY2RR">#REF!</definedName>
    <definedName localSheetId="1" name="BExEZGBFNJR8DLPN0V11AU22L6WY">#REF!</definedName>
    <definedName localSheetId="1" name="BExONB3A7CO4YD8RB41PHC93BQ9M">#REF!</definedName>
    <definedName name="BExCRLIHS7466WFJ3RPIUGGXYESZ">#REF!</definedName>
    <definedName localSheetId="1" name="BEx74Q6H3O7133AWQXWC21MI2UFT">#REF!</definedName>
    <definedName name="BExD13RUIBGRXDL4QDZ305UKUR12">#REF!</definedName>
    <definedName name="BExXVKZ9WXPGL6IVY6T61IDD771I">#REF!</definedName>
    <definedName localSheetId="1" name="BExSD9VH6PF6RQ135VOEE08YXPAW">#REF!</definedName>
    <definedName localSheetId="1" name="BExSFZVPFTXA3F0IJ2NGH1GXX9R7">#REF!</definedName>
    <definedName name="BEx3KIXQYOGMPK4WJJAVBRX4NR28">#REF!</definedName>
    <definedName name="BEx5QPSW4IPLH50WSR87HRER05RF">#REF!</definedName>
    <definedName name="BExO9V2U2YXAY904GYYGU6TD8Y7M">#REF!</definedName>
    <definedName localSheetId="1" name="BExO8UTAGQWDBQZEEF4HUNMLQCVU">#REF!</definedName>
    <definedName name="BEx3G201R8NLJ6FIHO2QS0SW9QVV">#REF!</definedName>
    <definedName name="BEx92ER2RMY93TZK0D9L9T3H0GI5">#REF!</definedName>
    <definedName localSheetId="1" name="BExBAVKX8Q09370X1GCZWJ4E91YJ">#REF!</definedName>
    <definedName localSheetId="1" name="BExB9Q2MZZHBGW8QQKVEYIMJBPIE">#REF!</definedName>
    <definedName name="BExF67O951CF8UJF3KBDNR0E83C1">#REF!</definedName>
    <definedName localSheetId="1" name="XRefPaste120Row">#REF!</definedName>
    <definedName localSheetId="1" name="BExU73387E74XE8A9UKZLZNJYY65">#REF!</definedName>
    <definedName name="BExMRU3ACIU0RD2BNWO55LH5U2BR">#REF!</definedName>
    <definedName name="BEx5HE4XRF9BUY04MENWY9CHHN5H">#REF!</definedName>
    <definedName name="BExZTLOL8OPABZI453E0KVNA1GJS">#REF!</definedName>
    <definedName name="BExZZXB3JQQG4SIZS4MRU6NNW7HI">#REF!</definedName>
    <definedName localSheetId="1" name="BExO7OUQS3XTUQ2LDKGQ8AAQ3OJJ">#REF!</definedName>
    <definedName localSheetId="1" name="BExU2XZLYIU19G7358W5T9E87AFR">#REF!</definedName>
    <definedName localSheetId="1" name="BExCTW8G3VCZ55S09HTUGXKB1P2M">#REF!</definedName>
    <definedName name="BEx1S0XGIPUSZQUCSGWSK10GKW7Y">#REF!</definedName>
    <definedName localSheetId="1" name="BEx9F5W18ZGFOKGRE8PR6T1MO6GT">#REF!</definedName>
    <definedName name="BExOHLHXXJL6363CC082M9M5VVXQ">#REF!</definedName>
    <definedName name="BEx3H5UX2GZFZZT657YR76RHW5I6">#REF!</definedName>
    <definedName name="BExD5QUSRFJWRQ1ZM50WYLCF74DF">#REF!</definedName>
    <definedName name="BEx5HAOT9XWUF7XIFRZZS8B9F5TZ">#REF!</definedName>
    <definedName name="BEx7GF3VA7OT2KE41DRJJQGXDIMJ">#REF!</definedName>
    <definedName localSheetId="1" name="BExIPDLT8JYAMGE5HTN4D1YHZF3V">#REF!</definedName>
    <definedName name="BExXZNJ2X1TK2LRK5ZY3MX49H5T7">#REF!</definedName>
    <definedName localSheetId="1" name="BExKKQ3ZWADYV03YHMXDOAMU90EB">#REF!</definedName>
    <definedName name="BExW3T1K638HT5E0Y8MMK108P5JT">#REF!</definedName>
    <definedName name="_46__123Graph_XCHART_8">#REF!</definedName>
    <definedName localSheetId="1" name="BExTTZNS2PBCR93C9IUW49UZ4I6T">#REF!</definedName>
    <definedName name="BEx7881ZZBWHRAX6W2GY19J8MGEQ">#REF!</definedName>
    <definedName localSheetId="1" name="_Key1">#REF!</definedName>
    <definedName name="BEx9B8A5186FNTQQNLIO5LK02ABI">#REF!</definedName>
    <definedName localSheetId="1" name="Swvu.LPERDAS.">#REF!</definedName>
    <definedName name="BExJ0YC98G37ML4N8FLP8D95EFRF">#REF!</definedName>
    <definedName name="BExGY6SU3SYVCJ3AG2ITY59SAZ5A">#REF!</definedName>
    <definedName localSheetId="1" name="BExW8K0SSIPSKBVP06IJ71600HJZ">#REF!</definedName>
    <definedName name="BExY1YEBOSLMID7LURP8QB46AI91">#REF!</definedName>
    <definedName name="BExAZLHLST9OP89R1HJMC1POQG8H">#REF!</definedName>
    <definedName name="BExZUF7G8FENTJKH9R1XUWXM6CWD">#REF!</definedName>
    <definedName name="BExU5XVPARTFMRYHNUTBKDIL4UJN">#REF!</definedName>
    <definedName name="XRefCopy43Row">#REF!</definedName>
    <definedName localSheetId="1" name="BExOHLHXXJL6363CC082M9M5VVXQ">#REF!</definedName>
    <definedName name="BExDCL7K96PC9VZYB70ZW3QPVIJE">#REF!</definedName>
    <definedName localSheetId="1" name="BExKVFZ3ZZGIC1QI8XN6BYFWN0ZY">#REF!</definedName>
    <definedName name="BExBEYFQJE9YK12A6JBMRFKEC7RN">#REF!</definedName>
    <definedName localSheetId="1" name="BExCS8W4NJUZH9S1CYB6XSDLEPBW">#REF!</definedName>
    <definedName name="BExIKHTXPZR5A8OHB6HDP6QWDHAD">#REF!</definedName>
    <definedName name="BEx7DVP5VGP2LUGO31SPRQONJD4P">#REF!</definedName>
    <definedName localSheetId="1" name="BEx1WHPURIV3D3PTJJ359H1OP7ZV">#REF!</definedName>
    <definedName name="BExS54X72TJFC41FJK72MLRR2OO7">#REF!</definedName>
    <definedName localSheetId="1" name="BExET3HXQ60A4O2OLKX8QNXRI6LQ">#REF!</definedName>
    <definedName localSheetId="1" name="BExO9J3A438976RXIUX5U9SU5T55">#REF!</definedName>
    <definedName localSheetId="1" name="BExMR8YQHA7N77HGHY4Y6R30I3XT">#REF!</definedName>
    <definedName localSheetId="1" name="BExIWH3KUK94B7833DD4TB0Y6KP9">#REF!</definedName>
    <definedName localSheetId="1" name="XREF_COLUMN_37">#REF!</definedName>
    <definedName localSheetId="1" name="BExS6N0LI574IAC89EFW6CLTCQ33">#REF!</definedName>
    <definedName name="BEx7C04AM39DQMC1TIX7CFZ2ADHX">#REF!</definedName>
    <definedName name="BEx5JJB6W446THXQCRUKD3I7RKLP">#REF!</definedName>
    <definedName localSheetId="1" name="BEx79EB6SJQ2R0V8TFGTM5BZWHLU">#REF!</definedName>
    <definedName name="BExXXKWLM4D541BH6O8GOJMHFHMW">#REF!</definedName>
    <definedName localSheetId="1" name="BExD3A588E939V61P1XEW0FI5Q0S">#REF!</definedName>
    <definedName name="BExMQGXSLPT4A6N47LE6FBVHWBOF">#REF!</definedName>
    <definedName name="XRefPaste129Row">#REF!</definedName>
    <definedName localSheetId="1" name="BExMO9IOWKTWHO8LQJJQI5P3INWY">#REF!</definedName>
    <definedName name="BExXYA2TV71TVGRUAK9VPY1EV5Q6">#REF!</definedName>
    <definedName name="BExSGLB2URTLBCKBB4Y885W925F2">#REF!</definedName>
    <definedName name="BEx75T55F7GML8V1DMWL26WRT006">#REF!</definedName>
    <definedName name="BExXR46U23CRRBV6IZT982MAEQKI">#REF!</definedName>
    <definedName name="BExKW0CSH7DA02YSNV64PSEIXB2P">#REF!</definedName>
    <definedName localSheetId="1" name="BExQ5KX3Z668H1KUCKZ9J24HUQ1F">#REF!</definedName>
    <definedName localSheetId="1" name="BEx7GR3ENYWRXXS5IT0UMEGOLGUH">#REF!</definedName>
    <definedName localSheetId="1" name="BExXW27MMXHXUXX78SDTBE1JYTHT">#REF!</definedName>
    <definedName localSheetId="1" name="BEx1VIY9SQLRESD11CC4PHYT0XSG">#REF!</definedName>
    <definedName name="BExEOBX3WECDMYCV9RLN49APTXMM">#REF!</definedName>
    <definedName name="BExETF6QD5A9GEINE1KZRRC2LXWM">#REF!</definedName>
    <definedName localSheetId="1" name="XRefPaste5">#REF!</definedName>
    <definedName localSheetId="1" name="BExD9PNSYT7GASEGUVL48MUQ02WO">#REF!</definedName>
    <definedName name="BExIYZGLDQ1TN7BIIN4RLDP31GIM">#REF!</definedName>
    <definedName name="XRefPaste56">#REF!</definedName>
    <definedName name="BExQ9L81FF4I7816VTPFBDWVU4CW">#REF!</definedName>
    <definedName name="BExVX3XN2DRJKL8EDBIG58RYQ36R">#REF!</definedName>
    <definedName name="XRefCopy55">#REF!</definedName>
    <definedName localSheetId="1" name="_8__123Graph_ACHART_1">#REF!</definedName>
    <definedName name="BExZJMY170JCUU1RWASNZ1HJPRTA">#REF!</definedName>
    <definedName name="BExY5515WE39FQ3EG5QHG67V9C0O">#REF!</definedName>
    <definedName name="BExEV69USLNYO2QRJRC0J92XUF00">#REF!</definedName>
    <definedName localSheetId="1" name="XRefCopy1">#REF!</definedName>
    <definedName name="BEx3UKOCOQG7S1YQ436S997K1KWV">#REF!</definedName>
    <definedName name="BExQIBB4I3Z6AUU0HYV1DHRS13M4">#REF!</definedName>
    <definedName name="XRefCopy44Row">#REF!</definedName>
    <definedName localSheetId="1" name="BExETF6QD5A9GEINE1KZRRC2LXWM">#REF!</definedName>
    <definedName localSheetId="1" name="BExAYKXAUWGDOPG952TEJ2UKZKWN">#REF!</definedName>
    <definedName localSheetId="1" name="BExSGE45J27MDUUNXW7Z8Q33UAON">#REF!</definedName>
    <definedName name="BExH08Z6LQCGGSGSAILMHX4X7JMD">#REF!</definedName>
    <definedName localSheetId="1" name="BExTVGPIQZ99YFXUC8OONUX5BD42">#REF!</definedName>
    <definedName name="BExGQGJ1A7LNZUS8QSMOG8UNGLMK">#REF!</definedName>
    <definedName name="BEx77G19QU9A95CNHE6QMVSQR2T3">#REF!</definedName>
    <definedName name="BEx94CKXG92OMURH41SNU6IOHK4J">#REF!</definedName>
    <definedName name="XRefPaste7Row">#REF!</definedName>
    <definedName localSheetId="1" name="_19__123Graph_ACHART_3">#REF!</definedName>
    <definedName localSheetId="1" name="BExGO2O0V6UYDY26AX8OSN72F77N">#REF!</definedName>
    <definedName name="BExGLYE6RZTAAWHJBG2QFJPTDS2Q">#REF!</definedName>
    <definedName name="_26__123Graph_BCHART_11">#REF!</definedName>
    <definedName localSheetId="1" name="BExIOTZ5EFZ2NASVQ05RH15HRSW6">#REF!</definedName>
    <definedName name="BExD3U2N041TEJ7GCN005UTPHNXY">#REF!</definedName>
    <definedName name="BEx95QBZMG0E2KQ9BERJ861QLYN3">#REF!</definedName>
    <definedName name="BExH0KT9Z8HEVRRQRGQ8YHXRLIJA">#REF!</definedName>
    <definedName name="BExGUM8D91UNPCOO4TKP9FGX85TF">#REF!</definedName>
    <definedName name="BExU68IOM3CB3TACNAE9565TW7SH">#REF!</definedName>
    <definedName localSheetId="1" name="BExIR2ALYRP9FW99DK2084J7IIDC">#REF!</definedName>
    <definedName name="BExO94UTJKQQ7TJTTJRTSR70YVJC">#REF!</definedName>
    <definedName localSheetId="1" name="BExH2GJQR4JALNB314RY0LDI49VH">#REF!</definedName>
    <definedName localSheetId="1" name="BEx1HETBBZVN5F43LKOFMC4QB0CR">#REF!</definedName>
    <definedName name="BExSHGH88QZWW4RNAX4YKAZ5JEBL">#REF!</definedName>
    <definedName name="BEx3PKEMDW8KZEP11IL927C5O7I2">#REF!</definedName>
    <definedName name="BExCWTVKHIVCRHF8GC39KI58YM5K">#REF!</definedName>
    <definedName name="BEx3R0JUB9YN8PHPPQTAMIT1IHWK">#REF!</definedName>
    <definedName name="_48__123Graph_XCHART_9">#REF!</definedName>
    <definedName name="BExU4D36E8TXN0M8KSNGEAFYP4DQ">#REF!</definedName>
    <definedName name="BExIM9DBUB7ZGF4B20FVUO9QGOX2">#REF!</definedName>
    <definedName localSheetId="1" name="BExXQU00K9ER4I1WM7T9J0W1E7ZC">#REF!</definedName>
    <definedName name="BExZTJL3HVBFY139H6CJHEQCT1EL">#REF!</definedName>
    <definedName localSheetId="1" name="BEx58O780PQ05NF0Z1SKKRB3N099">#REF!</definedName>
    <definedName localSheetId="1" name="BExCSAE1M6G20R41J0Y24YNN0YC1">#REF!</definedName>
    <definedName localSheetId="1" name="BEx1WLWY2CR1WRD694JJSWSDFAIR">#REF!</definedName>
    <definedName name="BExUEYR71COFS2X8PDNU21IPMQEU">#REF!</definedName>
    <definedName name="BExSFYDRRTAZVPXRWUF5PDQ97WFF">#REF!</definedName>
    <definedName name="BEx3RXYU0QLFXSFTM5EB20GD03W5">#REF!</definedName>
    <definedName localSheetId="1" name="BExD085KGO96YV2B9USVPFOE2AQS">#REF!</definedName>
    <definedName name="BExBG1ED81J2O4A2S5F5Y3BPHMCR">#REF!</definedName>
    <definedName localSheetId="1" name="BExW4QR9FV9MP5K610THBSM51RYO">#REF!</definedName>
    <definedName localSheetId="1" name="BExOK0EQYM9JUMAGWOUN7QDH7VMZ">#REF!</definedName>
    <definedName name="BEx94N7W5T3U7UOE97D6OVIBUCXS">#REF!</definedName>
    <definedName localSheetId="1" name="XREF_COLUMN_27">#REF!</definedName>
    <definedName name="BEx7BPXFZXJ79FQ0E8AQE21PGVHA">#REF!</definedName>
    <definedName localSheetId="1" name="BExXRBOFETC0OTJ6WY3VPMFH03VB">#REF!</definedName>
    <definedName name="BExH3IRB6764RQ5HBYRLH6XCT29X">#REF!</definedName>
    <definedName localSheetId="1" name="BEx5LSJ1LPUAX3ENSPECWPG4J7D1">#REF!</definedName>
    <definedName localSheetId="1" name="BEx91TMID71GVYH0U16QM1RV3PX0">#REF!</definedName>
    <definedName localSheetId="1" name="BExVTCMDQMLKRA2NQR72XU6Y54IK">#REF!</definedName>
    <definedName localSheetId="1" name="BExY0OE8GFHMLLTEAFIOQTOPEVPB">#REF!</definedName>
    <definedName name="BExIXS036ZCKT2Z8XZKLZ8PFWQGL">#REF!</definedName>
    <definedName name="XRefCopy51">#REF!</definedName>
    <definedName name="BExIPAB4AOL592OJCC1CFAXTLF1A">#REF!</definedName>
    <definedName localSheetId="1" name="BExXTP3GYO6Z9RTKKT10XA0UTV3T">#REF!</definedName>
    <definedName localSheetId="1" name="XREF_COLUMN_44">#REF!</definedName>
    <definedName name="BExD14DETV5R4OOTMAXD5NAKWRO3">#REF!</definedName>
    <definedName name="XREF_COLUMN_37">#REF!</definedName>
    <definedName localSheetId="1" name="BExGMZ3UBN48IXU1ZEFYECEMZ1IM">#REF!</definedName>
    <definedName localSheetId="1" name="_Fill">#REF!</definedName>
    <definedName localSheetId="1" name="BEx5GYUPJULJQ624TEESYFG1NFOH">#REF!</definedName>
    <definedName localSheetId="1" name="XRefCopy72Row">#REF!</definedName>
    <definedName localSheetId="1" name="BExW283NP9D366XFPXLGSCI5UB0L">#REF!</definedName>
    <definedName name="XRefPaste126Row">#REF!</definedName>
    <definedName localSheetId="1" name="BExD8H5O087KQVWIVPUUID5VMGMS">#REF!</definedName>
    <definedName name="BExW0FYP4WXY71CYUG40SUBG9UWU">#REF!</definedName>
    <definedName name="BExZW8ZPNV43UXGOT98FDNIBQHZY">#REF!</definedName>
    <definedName localSheetId="1" name="_26__123Graph_BCHART_11">#REF!</definedName>
    <definedName name="BExMFDLBSWFMRDYJ2DZETI3EXKN2">#REF!</definedName>
    <definedName localSheetId="1" name="BExXP85M4WXYVN1UVHUTOEKEG5XS">#REF!</definedName>
    <definedName name="BExZX0EWQEZO86WDAD9A4EAEZ012">#REF!</definedName>
    <definedName localSheetId="1" name="BExZK34NR4BAD7HJAP7SQ926UQP3">#REF!</definedName>
    <definedName localSheetId="1" name="BExKKIX1BCBQ4R3K41QD8NTV0OV0">#REF!</definedName>
    <definedName localSheetId="1" name="BEx5FQNA6V4CNYSH013K45RI4BCV">#REF!</definedName>
    <definedName name="BEx992CZON8AO7U7V88VN1JBO0MG">#REF!</definedName>
    <definedName localSheetId="1" name="BEx3FR251HFU7A33PU01SJUENL2B">#REF!</definedName>
    <definedName localSheetId="1" name="BExBDSRXVZQ0W5WXQMP5XD00GRRL">#REF!</definedName>
    <definedName name="BEx1LRPGDQCOEMW8YT80J1XCDCIV">#REF!</definedName>
    <definedName name="BExTZLICVKK4NBJFEGL270GJ2VQO">#REF!</definedName>
    <definedName localSheetId="1" name="XRefCopy76Row">#REF!</definedName>
    <definedName name="BExOG45J81K4OPA40KW5VQU54KY3">#REF!</definedName>
    <definedName localSheetId="1" name="BExF2T8Y6TSJ74RMSZOA9CEH4OZ6">#REF!</definedName>
    <definedName localSheetId="1" name="BExUB8HLEXSBVPZ5AXNQEK96F1N4">#REF!</definedName>
    <definedName name="BExMC8AZUTX8LG89K2JJR7ZG62XX">#REF!</definedName>
    <definedName localSheetId="1" name="BExMIBOOZU40JS3F89OMPSRCE9MM">#REF!</definedName>
    <definedName name="BExZM85FOVUFF110XMQ9O2ODSJUK">#REF!</definedName>
    <definedName name="BExGMKPW2HPKN0M0XKF3AZ8YP0D6">#REF!</definedName>
    <definedName localSheetId="1" name="BExODZFEIWV26E8RFU7XQYX1J458">#REF!</definedName>
    <definedName name="BExY2FS4LFX9OHOTQT7SJ2PXAC25">#REF!</definedName>
    <definedName localSheetId="1" name="BExIZKVXYD5O2JBU81F2UFJZLLSI">#REF!</definedName>
    <definedName name="BEx5BDR56MEV4IHY6CIH2SVNG1UB">#REF!</definedName>
    <definedName localSheetId="1" name="BExSCE99EZTILTTCE4NJJF96OYYM">#REF!</definedName>
    <definedName name="BEx92HR14HQ9D5JXCSPA4SS4RT62">#REF!</definedName>
    <definedName localSheetId="1" name="BEx3C6C7D1670YZQB4B1IE8352RY">#REF!</definedName>
    <definedName name="Swvu.ELIMLUCRO.">#REF!</definedName>
    <definedName localSheetId="1" name="BExOM3HIJ3UZPOKJI68KPBJAHPDC">#REF!</definedName>
    <definedName name="BEx5G1L0QO91KEPDMV1D8OT4BT73">#REF!</definedName>
    <definedName localSheetId="1" name="BExY5DF9MS25IFNWGJ1YAS5MDN8R">#REF!</definedName>
    <definedName name="XRefPaste71">#REF!</definedName>
    <definedName name="BEx9JJTZKVUJAVPTRE0RAVTEH41G">#REF!</definedName>
    <definedName name="XRefCopy3Row">#REF!</definedName>
    <definedName name="BExESR27ZXJG5VMY4PR9D940VS7T">#REF!</definedName>
    <definedName localSheetId="1" name="XRefPaste70">#REF!</definedName>
    <definedName name="BExEQ2PFURT24NQYGYVE8NKX1EGA">#REF!</definedName>
    <definedName name="BExXYYT12SVN2VDMLVNV4P3ISD8T">#REF!</definedName>
    <definedName localSheetId="1" name="BExY180UKNW5NIAWD6ZUYTFEH8QS">#REF!</definedName>
    <definedName name="BExOKU8GMLOCNVORDE329819XN67">#REF!</definedName>
    <definedName localSheetId="1" name="XRefPaste134">#REF!</definedName>
    <definedName localSheetId="1" name="BExO937E20IHMGQOZMECL3VZC7OX">#REF!</definedName>
    <definedName name="BEx3MEYV5LQY0BAL7V3CFAFVOM3T">#REF!</definedName>
    <definedName name="BExB7ELT09HGDVO5BJC1ZY9D09GZ">#REF!</definedName>
    <definedName name="XRefPaste121Row">#REF!</definedName>
    <definedName localSheetId="1" name="BEx5PLCA8DOMAU315YCS5275L2HS">#REF!</definedName>
    <definedName name="BExRZK9RAHMM0ZLTNSK7A4LDC42D">#REF!</definedName>
    <definedName name="BExBAZ13D3F1DVJQ6YJ8JGUYEYJE">#REF!</definedName>
    <definedName name="BExBDSRXVZQ0W5WXQMP5XD00GRRL">#REF!</definedName>
    <definedName name="BExVW3YV5XGIVJ97UUPDJGJ2P15B">#REF!</definedName>
    <definedName localSheetId="1" name="BExCU8O54I3P3WRYWY1CRP3S78QY">#REF!</definedName>
    <definedName name="BEx3FR251HFU7A33PU01SJUENL2B">#REF!</definedName>
    <definedName localSheetId="1" name="BEx1JKKZSJ7DI4PTFVI9VVFMB1X2">#REF!</definedName>
    <definedName name="BExD3NMR7AW2Z6V8SC79VQR37NA6">#REF!</definedName>
    <definedName localSheetId="1" name="BExMPSD77XQ3HA6A4FZOJK8G2JP3">#REF!</definedName>
    <definedName name="BExKVFZ3ZZGIC1QI8XN6BYFWN0ZY">#REF!</definedName>
    <definedName name="BExVZ5IEXO149J80YHPIOWN3D6FF">#REF!</definedName>
    <definedName name="BExZMOC3VNZALJM71X2T6FV91GTB">#REF!</definedName>
    <definedName name="BExZU2RMJTXOCS0ROPMYPE6WTD87">#REF!</definedName>
    <definedName name="BExTYPLA9N640MFRJJQPKXT7P88M">#REF!</definedName>
    <definedName localSheetId="1" name="BEx3U9VZ8SQVYS6ZA038J7AP7ZGW">#REF!</definedName>
    <definedName localSheetId="1" name="BExKT2UZ7Y2VWF5NQE18SJRLD2RN">#REF!</definedName>
    <definedName localSheetId="1" name="BExQ63793YQ9BH7JLCNRIATIGTRG">#REF!</definedName>
    <definedName localSheetId="1" name="Swvu.Fabio.">#REF!</definedName>
    <definedName localSheetId="1" name="BExGZJ78ZWZCVHZ3BKEKFJZ6MAEO">#REF!</definedName>
    <definedName localSheetId="1" name="XRefPaste67">#REF!</definedName>
    <definedName name="BEx58ZW0HAIGIPEX9CVA1PQQTR6X">#REF!</definedName>
    <definedName localSheetId="1" name="BExKHIVLONZ46HLMR50DEXKEUNEP">#REF!</definedName>
    <definedName name="BEx7MAUI1JJFDIJGDW4RWY5384LY">#REF!</definedName>
    <definedName name="XRefPaste9Row">#REF!</definedName>
    <definedName name="BExIWB99CG0H52LRD6QWPN4L6DV2">#REF!</definedName>
    <definedName localSheetId="1" name="BExO8CDTBCABLEUD6PE2UM2EZ6C4">#REF!</definedName>
    <definedName name="BExIZY2PUZ0OF9YKK1B13IW0VS6G">#REF!</definedName>
    <definedName name="BExEX85F3OSW8NSCYGYPS9372Z1Q">#REF!</definedName>
    <definedName name="BEx9FRBEEYPS5HLS3XT34AKZN94G">#REF!</definedName>
    <definedName name="BExS8Z2W2QEC3MH0BZIYLDFQNUIP">#REF!</definedName>
    <definedName localSheetId="1" name="BExQFPSWEMA8WBUZ4WK20LR13VSU">#REF!</definedName>
    <definedName name="BExBA1GON0EZRJ20UYPILAPLNQWM">#REF!</definedName>
    <definedName name="BExU9RW36I5Z6JIXUIUB3PJH86LT">#REF!</definedName>
    <definedName name="BExXLR6IO70TYTACKQH9M5PGV24J">#REF!</definedName>
    <definedName localSheetId="1" name="BExGOB25QJMQCQE76MRW9X58OIOO">#REF!</definedName>
    <definedName name="BEx79YUC7B0V77FSBGIRCY1BR4VK">#REF!</definedName>
    <definedName name="XRefPaste14">#REF!</definedName>
    <definedName name="XRefCopy55Row">#REF!</definedName>
    <definedName name="BExKSHQ9K79S8KYUWIV5M5LAHHF1">#REF!</definedName>
    <definedName name="BExDCP3UZ3C2O4C1F7KMU0Z9U32N">#REF!</definedName>
    <definedName name="BExGODR8ZSMUC11I56QHSZ686XV5">#REF!</definedName>
    <definedName localSheetId="1" name="XRefCopy22">#REF!</definedName>
    <definedName name="BExGO2YUBOVLYHY1QSIHRE1KLAFV">#REF!</definedName>
    <definedName name="BExKRVUSQ6PA7ZYQSTEQL3X7PB9P">#REF!</definedName>
    <definedName name="BExW4YEIR89MD677HBLHZFF54ZZ5">#REF!</definedName>
    <definedName localSheetId="1" name="BExS46R5WDNU5KL04FKY5LHJUCB8">#REF!</definedName>
    <definedName name="XRefPaste103Row">#REF!</definedName>
    <definedName localSheetId="1" name="BExGUR6BA03XPBK60SQUW197GJ5X">#REF!</definedName>
    <definedName localSheetId="1" name="BExGM4DZ65OAQP7MA4LN6QMYZOFF">#REF!</definedName>
    <definedName localSheetId="1" name="BExF6NUXJI11W2IAZNAM1QWC0459">#REF!</definedName>
    <definedName localSheetId="1" name="BExQ9KX9734KIAK7IMRLHCPYDHO2">#REF!</definedName>
    <definedName localSheetId="1" name="BExBAKXZ7PBW3DDKKA5MWC1ZUC7O">#REF!</definedName>
    <definedName localSheetId="1" name="BExW4Z029R9E19ZENN3WEA3VDAD1">#REF!</definedName>
    <definedName name="BExF2T8Y6TSJ74RMSZOA9CEH4OZ6">#REF!</definedName>
    <definedName localSheetId="1" name="BExGMP2F175LGL6QVSJGP6GKYHHA">#REF!</definedName>
    <definedName localSheetId="1" name="BEx5BHSQ42B50IU1TEQFUXFX9XQD">#REF!</definedName>
    <definedName localSheetId="1" name="BExQ6M2YXJ8AMRJF3QGHC40ADAHZ">#REF!</definedName>
    <definedName name="BExGR6LQ97HETGS3CT96L4IK0JSH">#REF!</definedName>
    <definedName localSheetId="1" name="BExXUQEQBF6FI240ZGIF9YXZSRAU">#REF!</definedName>
    <definedName name="BExGSCEUCQQVDEEKWJ677QTGUVTE">#REF!</definedName>
    <definedName localSheetId="1" name="BExB1WI6M8I0EEP1ANUQZCFY24EV">#REF!</definedName>
    <definedName localSheetId="1" name="BExBCLMEPAN3XXX174TU8SS0627Q">#REF!</definedName>
    <definedName localSheetId="1" name="BEx93OLWY2O3PRA74U41VG5RXT4Q">#REF!</definedName>
    <definedName localSheetId="1" name="BExS6XNRKR0C3MTA0LV5B60UB908">#REF!</definedName>
    <definedName localSheetId="1" name="XRefCopy22Row">#REF!</definedName>
    <definedName localSheetId="1" name="BEx3L7D0PI38HWZ7VADU16C9E33D">#REF!</definedName>
    <definedName localSheetId="1" name="BEx1XL4MZ7C80495GHQRWOBS16PQ">#REF!</definedName>
    <definedName localSheetId="1" name="BEx5JJB6W446THXQCRUKD3I7RKLP">#REF!</definedName>
    <definedName name="XRefCopy120">#REF!</definedName>
    <definedName name="BExQ5039ZCEWBUJHU682G4S89J03">#REF!</definedName>
    <definedName name="BExQFEEV7627R8TYZCM28C6V6WHE">#REF!</definedName>
    <definedName localSheetId="1" name="BExOO4B8FPAFYPHCTYTX37P1TQM5">#REF!</definedName>
    <definedName localSheetId="1" name="BExU86NB26MCPYIISZ36HADONGT2">#REF!</definedName>
    <definedName name="BExF6IB8K74Z0AFT05GPOKKZW7C9">#REF!</definedName>
    <definedName localSheetId="1" name="BExH23271RF7AYZ542KHQTH68GQ7">#REF!</definedName>
    <definedName name="_24__123Graph_BCHART_11">#REF!</definedName>
    <definedName localSheetId="1" name="BExUE5OMY7OAJQ9WR8C8HG311ORP">#REF!</definedName>
    <definedName name="BExKKUGD2HMJWQEYZ8H3X1BMXFS9">#REF!</definedName>
    <definedName localSheetId="1" name="XRefCopy23Row">#REF!</definedName>
    <definedName name="BExXS63O4OMWMNXXAODZQFSDG33N">#REF!</definedName>
    <definedName localSheetId="1" name="XRefCopy143">#REF!</definedName>
    <definedName localSheetId="1" name="BExW6EJPHAP1TWT380AZLXNHR22P">#REF!</definedName>
    <definedName localSheetId="1" name="XRefPaste128">#REF!</definedName>
    <definedName name="BExXTL72MKEQSQH9L2OTFLU8DM2B">#REF!</definedName>
    <definedName localSheetId="1" name="BExVZ9EO732IK6MNMG17Y1EFTJQC">#REF!</definedName>
    <definedName localSheetId="1" name="BExZTAQV2QVSZY5Y3VCCWUBSBW9P">#REF!</definedName>
    <definedName name="BExZWUF2V4HY3HI8JN9ZVPRWK1H3">#REF!</definedName>
    <definedName localSheetId="1" name="BExZTHSI2FX56PWRSNX9H5EWTZFO">#REF!</definedName>
    <definedName localSheetId="1" name="BExGXJ9W5JU7TT9S0BKL5Y6VVB39">#REF!</definedName>
    <definedName localSheetId="1" name="_22__123Graph_BCHART_10">#REF!</definedName>
    <definedName localSheetId="1" name="BExS2QB5FS5LYTFYO4BROTWG3OV5">#REF!</definedName>
    <definedName localSheetId="1" name="BExXM3GUNXVDM82KUR17NNUMQCNI">#REF!</definedName>
    <definedName localSheetId="1" name="BExZPQ0XY507N8FJMVPKCTK8HC9H">#REF!</definedName>
    <definedName localSheetId="1" name="BExKVDVK6HN74GQPTXICP9BFC8CF">#REF!</definedName>
    <definedName localSheetId="1" name="XRefCopy24Row">#REF!</definedName>
    <definedName localSheetId="1" name="BExD7KSDKNDNH95NDT3S7GM3MUU2">#REF!</definedName>
    <definedName localSheetId="1" name="BExQIBB4I3Z6AUU0HYV1DHRS13M4">#REF!</definedName>
    <definedName localSheetId="1" name="BExJ0MY8SY5J5V50H3UKE78ODTVB">#REF!</definedName>
    <definedName localSheetId="1" name="XRefCopy62">#REF!</definedName>
    <definedName localSheetId="1" name="XRefCopy51">#REF!</definedName>
    <definedName localSheetId="1" name="XRefPaste9Row">#REF!</definedName>
    <definedName name="BEx1UML0HHJFHA5TBOYQ24I3RV1W">#REF!</definedName>
    <definedName name="BExIWKE9MGIDWORBI43AWTUNYFAN">#REF!</definedName>
    <definedName localSheetId="1" name="BExZNW8QJ18X0RSGFDWAE9ZSDX39">#REF!</definedName>
    <definedName name="BExZNH3VISFF4NQI11BZDP5IQ7VG">#REF!</definedName>
    <definedName localSheetId="1" name="BEx93FRKF99NRT3LH99UTIH7AAYF">#REF!</definedName>
    <definedName name="BExQC5TWT21CGBKD0IHAXTIN2QB8">#REF!</definedName>
    <definedName localSheetId="1" name="BExGNYH0MO8NOVS85L15G0RWX4GW">#REF!</definedName>
    <definedName localSheetId="1" name="XRefPaste130Row">#REF!</definedName>
    <definedName name="BExIS4T0DRF57HYO7OGG72KBOFOI">#REF!</definedName>
    <definedName localSheetId="1" name="BExF1MZN8MWMOKOARHJ1QAF9HPGT">#REF!</definedName>
    <definedName name="BExXZFVV4YB42AZ3H1I40YG3JAPU">#REF!</definedName>
    <definedName name="BExQ6POH065GV0I74XXVD0VUPBJW">#REF!</definedName>
    <definedName name="XREF_COLUMN_34">#REF!</definedName>
    <definedName localSheetId="1" name="BEx7IXGU74GE5E4S6W4Z13AR092Y">#REF!</definedName>
    <definedName name="BEx3L4IN3LI4C26SITKTGAH27CDU">#REF!</definedName>
    <definedName localSheetId="1" name="BEx3HWJ5SQSD2CVCQNR183X44FR8">#REF!</definedName>
    <definedName localSheetId="1" name="BEx1TJ0WLS9O7KNSGIPWTYHDYI1D">#REF!</definedName>
    <definedName name="BExU3B66MCKJFSKT3HL8B5EJGVX0">#REF!</definedName>
    <definedName localSheetId="1" name="__30__123Graph_BCHART_9">#REF!</definedName>
    <definedName localSheetId="1" name="XRefPaste14">#REF!</definedName>
    <definedName localSheetId="1" name="BExKGV77YH9YXIQTRKK2331QGYKF">#REF!</definedName>
    <definedName name="XRefPaste15Row">#REF!</definedName>
    <definedName localSheetId="1" name="BExF7K88K7ASGV6RAOAGH52G04VR">#REF!</definedName>
    <definedName name="XRefCopy21">#REF!</definedName>
    <definedName name="BEx58O780PQ05NF0Z1SKKRB3N099">#REF!</definedName>
    <definedName name="BExB6YPZ5RW3TEKIBOZD2R4PX1TF">#REF!</definedName>
    <definedName name="BExCY2DQO9VLA77Q7EG3T0XNXX4F">#REF!</definedName>
    <definedName localSheetId="1" name="BExSAFJ3IICU2M7QPVE4ARYMXZKX">#REF!</definedName>
    <definedName localSheetId="1" name="BEx955NIAWX5OLAHMTV6QFUZPR30">#REF!</definedName>
    <definedName name="BEx3AZH9W4SUFCAHNDOQ728R9V4L">#REF!</definedName>
    <definedName name="BExZL6E4YVXRUN7ZGF2BIGIXFR8K">#REF!</definedName>
    <definedName name="BEx3RHC2ZD5UFS6QD4OPFCNNMWH1">#REF!</definedName>
    <definedName name="BExZRQ930U6OCYNV00CH5I0Q4LPE">#REF!</definedName>
    <definedName localSheetId="1" name="XRefPaste59Row">#REF!</definedName>
    <definedName name="XRefCopy123">#REF!</definedName>
    <definedName name="BExSC60N7WR9PJSNC9B7ORCX9NGY">#REF!</definedName>
    <definedName name="BExB16VQY0O0RLZYJFU3OFEONVTE">#REF!</definedName>
    <definedName localSheetId="1" name="BEx5G08KGMG5X2AQKDGPFYG5GH94">#REF!</definedName>
    <definedName localSheetId="1" name="BEx1M51HHDYGIT8PON7U8ICL2S95">#REF!</definedName>
    <definedName name="XRefCopy71Row">#REF!</definedName>
    <definedName name="BEx91OTVH9ZDBC3QTORU8RZX4EOC">#REF!</definedName>
    <definedName localSheetId="1" name="BEx1UI8N9KTCPSOJ7RDW0T8UEBNP">#REF!</definedName>
    <definedName localSheetId="1" name="BEx5BNN8NPH9KVOBARB9CDD9WLB6">#REF!</definedName>
    <definedName localSheetId="1" name="XRefPaste19Row">#REF!</definedName>
    <definedName localSheetId="1" name="BExMI8OS85YTW3KYVE4YD0R7Z6UV">#REF!</definedName>
    <definedName localSheetId="1" name="BExVW6YTKA098AF57M4PHNQ54XMH">#REF!</definedName>
    <definedName name="BExGN9FZ2RWCMSY1YOBJKZMNIM9R">#REF!</definedName>
    <definedName name="BExMDANV66W9T3XAXID40XFJ0J93">#REF!</definedName>
    <definedName localSheetId="1" name="BExIZY2PUZ0OF9YKK1B13IW0VS6G">#REF!</definedName>
    <definedName name="BEx3NLIZ7PHF2XE59ECZ3MD04ZG1">#REF!</definedName>
    <definedName name="BEx3BTLL3ASJN134DLEQTQM70VZM">#REF!</definedName>
    <definedName localSheetId="1" name="XRefCopy52">#REF!</definedName>
    <definedName localSheetId="1" name="BExEVVLIEVWYRF2UUC1H0H5QU1CP">#REF!</definedName>
    <definedName localSheetId="1" name="BExMQ4I3Q7F0BMPHSFMFW9TZ87UD">#REF!</definedName>
    <definedName name="BExTY5T62H651VC86QM4X7E28JVA">#REF!</definedName>
    <definedName name="BExCYPRC5HJE6N2XQTHCT6NXGP8N">#REF!</definedName>
    <definedName name="BExQA9HZIN9XEMHEEVHT99UU9Z82">#REF!</definedName>
    <definedName localSheetId="1" name="BExONFQH6UUXF8V0GI4BRIST9RFO">#REF!</definedName>
    <definedName localSheetId="1" name="XRefCopy50">#REF!</definedName>
    <definedName localSheetId="1" name="BExKJUSJPFUIK20FTVAFJWR2OUYX">#REF!</definedName>
    <definedName localSheetId="1" name="BExD3NMR7AW2Z6V8SC79VQR37NA6">#REF!</definedName>
    <definedName localSheetId="1" name="XRefCopy5Row">#REF!</definedName>
    <definedName localSheetId="1" name="BExS4JN3Y6SVBKILQK0R9HS45Y52">#REF!</definedName>
    <definedName localSheetId="1" name="BExVRRDJWUUFUP0AOL4AKZHFKCSS">#REF!</definedName>
    <definedName localSheetId="1" name="XRefPaste137">#REF!</definedName>
    <definedName name="BEx93RWFAF6YJGYUTITVM445C02U">#REF!</definedName>
    <definedName localSheetId="1" name="BExXS63O4OMWMNXXAODZQFSDG33N">#REF!</definedName>
    <definedName name="BExQK3LE5CSBW1E4H4KHW548FL2R">#REF!</definedName>
    <definedName name="BEx96UN4YWXBDEZ1U1ZUIPP41Z7I">#REF!</definedName>
    <definedName name="XRefCopy137">#REF!</definedName>
    <definedName localSheetId="1" name="BExEPYT6VDSMR8MU2341Q5GM2Y9V">#REF!</definedName>
    <definedName localSheetId="1" name="BExF2QZYWHTYGUTTXR15CKCV3LS7">#REF!</definedName>
    <definedName name="BExGXZ0ABB43C7SMRKZHWOSU9EQX">#REF!</definedName>
    <definedName name="BExQF9X2AQPFJZTCHTU5PTTR0JAH">#REF!</definedName>
    <definedName localSheetId="1" name="BExIMGK9Z94TFPWWZFMD10HV0IF6">#REF!</definedName>
    <definedName localSheetId="1" name="XRefPaste33">#REF!</definedName>
    <definedName name="BExMLVI7UORSHM9FMO8S2EI0TMTS">#REF!</definedName>
    <definedName name="BExZZTK54OTLF2YB68BHGOS27GEN">#REF!</definedName>
    <definedName localSheetId="1" name="BExF0ZRI7W4RSLIDLHTSM0AWXO3S">#REF!</definedName>
    <definedName localSheetId="1" name="BExCSZV7U67UWXL2HKJNM5W1E4OO">#REF!</definedName>
    <definedName name="BEx3GCXR6IAS0B6WJ03GJVH7CO52">#REF!</definedName>
    <definedName localSheetId="1" name="BExZQ3NT7H06VO0AR48WHZULZB93">#REF!</definedName>
    <definedName localSheetId="1" name="BExW3EIBA1J9Q9NA9VCGZGRS8WV7">#REF!</definedName>
    <definedName localSheetId="1" name="BExKKUGD2HMJWQEYZ8H3X1BMXFS9">#REF!</definedName>
    <definedName localSheetId="1" name="BExCY2DQO9VLA77Q7EG3T0XNXX4F">#REF!</definedName>
    <definedName localSheetId="1" name="XRefCopy36">#REF!</definedName>
    <definedName name="XRefPaste39">#REF!</definedName>
    <definedName localSheetId="1" name="BExXNWYB165VO9MHARCL5WLCHWS0">#REF!</definedName>
    <definedName localSheetId="1" name="BEx5CUNFOO4YDFJ22HCMI2QKIGKM">#REF!</definedName>
    <definedName localSheetId="1" name="BExD5FRK547OESJRYAW574DZEZ7J">#REF!</definedName>
    <definedName localSheetId="1" name="_25__123Graph_BCHART_10">#REF!</definedName>
    <definedName name="BEx3MREOFWJQEYMCMBL7ZE06NBN6">#REF!</definedName>
    <definedName localSheetId="1" name="BEx9GNOPB6OZ2RH3FCDNJR38RJOS">#REF!</definedName>
    <definedName name="BExTZKB6L5SXV5UN71YVTCBEIGWY">#REF!</definedName>
    <definedName name="BExZTAQV2QVSZY5Y3VCCWUBSBW9P">#REF!</definedName>
    <definedName localSheetId="1" name="BEx78HHRIWDLHQX2LG0HWFRYEL1T">#REF!</definedName>
    <definedName name="BExKSX60G1MUS689FXIGYP2F7C62">#REF!</definedName>
    <definedName localSheetId="1" name="BEx9AT5E3ZSHKSOL35O38L8HF9TH">#REF!</definedName>
    <definedName localSheetId="1" name="BExH2XS1UFYFGU0S0EBXX90W2WE8">#REF!</definedName>
    <definedName localSheetId="1" name="BExD7IE1DHIS52UFDCTSKPJQNRD5">#REF!</definedName>
    <definedName localSheetId="1" name="BExCS1EDDUEAEWHVYXHIP9I1WCJH">#REF!</definedName>
    <definedName localSheetId="1" name="BExGO2YUBOVLYHY1QSIHRE1KLAFV">#REF!</definedName>
    <definedName name="BExKQJGAAWNM3NT19E9I0CQDBTU0">#REF!</definedName>
    <definedName localSheetId="1" name="BExKFYJC4EVEV54F82K6VKP7Q3OU">#REF!</definedName>
    <definedName localSheetId="1" name="BEx92S8MHFFIVRQ2YSHZNQGOFUHD">#REF!</definedName>
    <definedName localSheetId="1" name="BExW794A74Z5F2K8LVQLD6VSKXUE">#REF!</definedName>
    <definedName localSheetId="1" name="BExH00L21GZX5YJJGVMOAWBERLP5">#REF!</definedName>
    <definedName localSheetId="1" name="BExKTUKYYU0F6TUW1RXV24LRAZFE">#REF!</definedName>
    <definedName localSheetId="1" name="BEx7A06T3RC2891FUX05G3QPRAUE">#REF!</definedName>
    <definedName localSheetId="1" name="__123Graph_A2">#REF!</definedName>
    <definedName name="BExH2JZR49T7644JFVE7B3N7RZM9">#REF!</definedName>
    <definedName name="BEx587EYSS57E3PI8DT973HLJM9E">#REF!</definedName>
    <definedName localSheetId="1" name="BExIWB3SY3WRIVIOF988DNNODBOA">#REF!</definedName>
    <definedName name="BExM9NUG3Q31X01AI9ZJCZIX25CS">#REF!</definedName>
    <definedName name="BEx5MRQQG096ZWLD2XXGDXD7P84F">#REF!</definedName>
    <definedName localSheetId="1" name="XRefCopy15">#REF!</definedName>
    <definedName name="BExMR1MA4I1X77714ZEPUVC8W398">#REF!</definedName>
    <definedName name="XRefCopy12Row">#REF!</definedName>
    <definedName localSheetId="1" name="BExXMA28M8SH7MKIGETSDA72WUIZ">#REF!</definedName>
    <definedName localSheetId="1" name="BEx0017DGUEDPCFJUPUZOOLJCS2B">#REF!</definedName>
    <definedName name="BExGUIBXBRHGM97ZX6GBA4ZDQ79C">#REF!</definedName>
    <definedName localSheetId="1" name="XRefPaste21Row">#REF!</definedName>
    <definedName localSheetId="1" name="BExGUVIP60TA4B7X2PFGMBFUSKGX">#REF!</definedName>
    <definedName name="XRefCopy23">#REF!</definedName>
    <definedName name="BExTX476KI0RNB71XI5TYMANSGBG">#REF!</definedName>
    <definedName localSheetId="1" name="XRefCopy49Row">#REF!</definedName>
    <definedName name="BExO7OUQS3XTUQ2LDKGQ8AAQ3OJJ">#REF!</definedName>
    <definedName localSheetId="1" name="BExKDKO0W4AGQO1V7K6Q4VM750FT">#REF!</definedName>
    <definedName localSheetId="1" name="BExZWSMC9T48W74GFGQCIUJ8ZPP3">#REF!</definedName>
    <definedName localSheetId="1" name="BEx1UESH4KDWHYESQU2IE55RS3LI">#REF!</definedName>
    <definedName localSheetId="1" name="BEx3QL4BGDLZ4B752FN18QOW18FR">#REF!</definedName>
    <definedName name="BExGU2G9OPRZRIU9YGF6NX9FUW0J">#REF!</definedName>
    <definedName name="BExD7IUBGUWHYC9UNZ1IY5XFYKQN">#REF!</definedName>
    <definedName name="XRefCopy9Row">#REF!</definedName>
    <definedName name="BExEXRBZ0DI9E2UFLLKYWGN66B61">#REF!</definedName>
    <definedName name="BExS4ASWKM93XA275AXHYP8AG6SU">#REF!</definedName>
    <definedName name="XREF_COLUMN_26">#REF!</definedName>
    <definedName localSheetId="1" name="BExMBYPQDG9AYDQ5E8IECVFREPO6">#REF!</definedName>
    <definedName localSheetId="1" name="BExQ8469L3ZRZ3KYZPYMSJIDL7Y5">#REF!</definedName>
    <definedName name="XRefPaste8">#REF!</definedName>
    <definedName localSheetId="1" name="BExD9MNYBYB1AICQL5165G472IE2">#REF!</definedName>
    <definedName localSheetId="1" name="XRefCopy119">#REF!</definedName>
    <definedName name="BExSF07QFLZCO4P6K6QF05XG7PH1">#REF!</definedName>
    <definedName localSheetId="1" name="BExIHBHXA7E7VUTBVHXXXCH3A5CL">#REF!</definedName>
    <definedName name="XREF_COLUMN_33">#REF!</definedName>
    <definedName name="BExZXY4NKQL9QD76YMQJ15U1C2G8">#REF!</definedName>
    <definedName name="_50__123Graph_FOP75_25PRICE">#REF!</definedName>
    <definedName localSheetId="1" name="BExQ42IU9MNDYLODP41DL6YTZMAR">#REF!</definedName>
    <definedName name="BExW8YEP73JMMU9HZ08PM4WHJQZ4">#REF!</definedName>
    <definedName localSheetId="1" name="XREF_COLUMN_10">#REF!</definedName>
    <definedName name="BExS4P6S41O6Z6BED77U3GD9PNH1">#REF!</definedName>
    <definedName name="BExKKX05KCZZZPKOR1NE5A8RGVT4">#REF!</definedName>
    <definedName localSheetId="1" name="BExSF07QFLZCO4P6K6QF05XG7PH1">#REF!</definedName>
    <definedName name="BExXN22ZOTIW49GPLWFYKVM90FNZ">#REF!</definedName>
    <definedName localSheetId="1" name="BEx7CCPC6R1KQQZ2JQU6EFI1G0RM">#REF!</definedName>
    <definedName localSheetId="1" name="BExS54X72TJFC41FJK72MLRR2OO7">#REF!</definedName>
    <definedName localSheetId="1" name="BExF6ZE8D5CMPJPRWT6S4HM56LPF">#REF!</definedName>
    <definedName name="BExD9PNSYT7GASEGUVL48MUQ02WO">#REF!</definedName>
    <definedName localSheetId="1" name="BExY1GK9ELBEKDD7O6HR6DUO8YGO">#REF!</definedName>
    <definedName localSheetId="1" name="BExU6KT19B4PG6SHXFBGBPLM66KT">#REF!</definedName>
    <definedName name="BExIZPZDHC8HGER83WHCZAHOX7LK">#REF!</definedName>
    <definedName localSheetId="1" name="BExMMPMIOU7BURTV0L1K6ACW9X73">#REF!</definedName>
    <definedName name="BExIQBMDE1L6J4H27K1FMSHQKDSE">#REF!</definedName>
    <definedName name="SFLKKLNDFZ">#REF!</definedName>
    <definedName name="BExME2U47N8LZG0BPJ49ANY5QVV2">#REF!</definedName>
    <definedName localSheetId="1" name="BExCWPDPESGZS07QGBLSBWDNVJLZ">#REF!</definedName>
    <definedName name="XRefPaste31">#REF!</definedName>
    <definedName name="BExEV2TP7NA3ZR6RJGH5ER370OUM">#REF!</definedName>
    <definedName name="BExS15IJV0WW662NXQUVT3FGP4ST">#REF!</definedName>
    <definedName localSheetId="1" name="_12__123Graph_ACHART_11">#REF!</definedName>
    <definedName localSheetId="1" name="BExQD571YWOXKR2SX85K5MKQ0AO2">#REF!</definedName>
    <definedName localSheetId="1" name="BExISRFKJYUZ4AKW44IJF7RF9Y90">#REF!</definedName>
    <definedName localSheetId="1" name="BEx3TPCSI16OAB2L9M9IULQMQ9J9">#REF!</definedName>
    <definedName localSheetId="1" name="BEx9GUQALUWCD30UKUQGSWW8KBQ7">#REF!</definedName>
    <definedName name="BExKQM5GJ1ZN5REKFE7YVBQ0KXWF">#REF!</definedName>
    <definedName name="BExMPSD77XQ3HA6A4FZOJK8G2JP3">#REF!</definedName>
    <definedName localSheetId="1" name="BExOP9DEBV5W5P4Q25J3XCJBP5S9">#REF!</definedName>
    <definedName localSheetId="1" name="BExMMIQH5BABNZVCIQ7TBCQ10AY5">#REF!</definedName>
    <definedName localSheetId="1" name="BEx5PJP02W68K2E46L5C5YBSNU6T">#REF!</definedName>
    <definedName name="BExQJEVCKX6KZHNCLYXY7D0MX5KN">#REF!</definedName>
    <definedName name="ACwvu.ESTOQUES.">#REF!</definedName>
    <definedName name="BExD1Y1JV61416YA1XRQHKWPZIE7">#REF!</definedName>
    <definedName localSheetId="1" name="BExIQX1XBB31HZTYEEVOBSE3C5A6">#REF!</definedName>
    <definedName name="BExXQJIEF5R3QQ6D8HO3NGPU0IQC">#REF!</definedName>
    <definedName name="BExB5QYVEZWFE5DQVHAM760EV05X">#REF!</definedName>
    <definedName localSheetId="1" name="BEx7DVUMFCI5INHMVFIJ44RTTSTT">#REF!</definedName>
    <definedName name="XRefCopy62Row">#REF!</definedName>
    <definedName localSheetId="1" name="BExU7BBTUF8BQ42DSGM94X5TG5GF">#REF!</definedName>
    <definedName localSheetId="1" name="BExXRO9N1SNJZGKD90P4K7FU1J0P">#REF!</definedName>
    <definedName localSheetId="1" name="BExKNGV2YY749C42AQ2T9QNIE5C3">#REF!</definedName>
    <definedName localSheetId="1" name="BEx9FRBEEYPS5HLS3XT34AKZN94G">#REF!</definedName>
    <definedName localSheetId="1" name="XRefPaste112">#REF!</definedName>
    <definedName name="BExB4ADD0L7417CII901XTFKXD1J">#REF!</definedName>
    <definedName name="BExKH3FTZ5VGTB86W9M4AB39R0G8">#REF!</definedName>
    <definedName localSheetId="1" name="BEx1NZ4K1L8UON80Y2A4RASKWGNP">#REF!</definedName>
    <definedName name="BExIVMOIPSEWSIHIDDLOXESQ28A0">#REF!</definedName>
    <definedName name="BExAY0EAT2LXR5MFGM0DLIB45PLO">#REF!</definedName>
    <definedName localSheetId="1" name="BExUDXAIC17W1FUU8Z10XUAVB7CS">#REF!</definedName>
    <definedName localSheetId="1" name="BExXRV5QP3Z0KAQ1EQT9JYT2FV0L">#REF!</definedName>
    <definedName localSheetId="1" name="BExXSNHC88W4UMXEOIOOATJAIKZO">#REF!</definedName>
    <definedName localSheetId="1" name="BExMI8JB94SBD9EMNJEK7Y2T6GYU">#REF!</definedName>
    <definedName localSheetId="1" name="BExU9KJOZLO15N11MJVN782NFGJ0">#REF!</definedName>
    <definedName localSheetId="1" name="BExXPELOTHOAG0OWILLAH94OZV5J">#REF!</definedName>
    <definedName localSheetId="1" name="XRefCopy80Row">#REF!</definedName>
    <definedName localSheetId="1" name="BExO5A8PZD9EUHC5CMPU6N3SQ15L">#REF!</definedName>
    <definedName localSheetId="1" name="XRefCopy43Row">#REF!</definedName>
    <definedName name="BExZIYO22G5UXOB42GDLYGVRJ6U7">#REF!</definedName>
    <definedName localSheetId="1" name="BExU80I6AE5OU7P7F5V7HWIZBJ4P">#REF!</definedName>
    <definedName localSheetId="1" name="_53__123Graph_LBL_ACHART_3">#REF!</definedName>
    <definedName name="BExIUUT2MHIOV6R3WHA0DPM1KBKY">#REF!</definedName>
    <definedName name="BExKUDM0DFSCM3D91SH0XLXJSL18">#REF!</definedName>
    <definedName localSheetId="1" name="BExW0FYP4WXY71CYUG40SUBG9UWU">#REF!</definedName>
    <definedName localSheetId="1" name="BEx1SK3U02H0RGKEYXW7ZMCEOF3V">#REF!</definedName>
    <definedName localSheetId="1" name="BExUDWOXQGIZW0EAIIYLQUPXF8YV">#REF!</definedName>
    <definedName localSheetId="1" name="BExOQ1JN4SAC44RTMZIGHSW023WA">#REF!</definedName>
    <definedName localSheetId="1" name="BEx9EQLVZHYQ1TPX7WH3SOWXCZLE">#REF!</definedName>
    <definedName name="BEx7H0JD6I5I8WQLLWOYWY5YWPQE">#REF!</definedName>
    <definedName name="BEx5BESZC5H329SKHGJOHZFILYJJ">#REF!</definedName>
    <definedName name="BEx01XJ94SHJ1YQ7ORPW0RQGKI2H">#REF!</definedName>
    <definedName name="XRefPaste104Row">#REF!</definedName>
    <definedName name="XRefPaste19">#REF!</definedName>
    <definedName name="BEx77QDESURI6WW5582YXSK3A972">#REF!</definedName>
    <definedName name="BExGTGVFIF8HOQXR54SK065A8M4K">#REF!</definedName>
    <definedName localSheetId="1" name="BExTZKB6L5SXV5UN71YVTCBEIGWY">#REF!</definedName>
    <definedName name="BExEVET98G3FU6QBF9LHYWSAMV0O">#REF!</definedName>
    <definedName localSheetId="1" name="XRefPaste139Row">#REF!</definedName>
    <definedName localSheetId="1" name="BEx1V67SEV778NVW68J8W5SND1J7">#REF!</definedName>
    <definedName name="BExQ8DM90XJ6GCJIK9LC5O82I2TJ">#REF!</definedName>
    <definedName localSheetId="1" name="XRefCopy26">#REF!</definedName>
    <definedName name="BExF5ZFO2A29GHWR5ES64Z9OS16J">#REF!</definedName>
    <definedName localSheetId="1" name="BExGQGJ1A7LNZUS8QSMOG8UNGLMK">#REF!</definedName>
    <definedName name="BExKRY3KZ7F7RB2KH8HXSQ85IEQO">#REF!</definedName>
    <definedName name="XRefPaste30">#REF!</definedName>
    <definedName localSheetId="1" name="BExM9NUG3Q31X01AI9ZJCZIX25CS">#REF!</definedName>
    <definedName localSheetId="1" name="BExQEMUA4HEFM4OVO8M8MA8PIAW1">#REF!</definedName>
    <definedName name="BExMB4QRS0R3MTB4CMUHFZ84LNZQ">#REF!</definedName>
    <definedName localSheetId="1" name="BExISC5B700MZUBFTQ9K4IKTF7HR">#REF!</definedName>
    <definedName localSheetId="1" name="BEx9GZ2P3FDHKXEBXX2VS0BG2NP2">#REF!</definedName>
    <definedName localSheetId="1" name="BEx1HO94JIRX219MPWMB5E5XZ04X">#REF!</definedName>
    <definedName localSheetId="1" name="BEx780K8XAXUHGVZGZWQ74DK4CI3">#REF!</definedName>
    <definedName localSheetId="1" name="BEx7CIJST9GLS2QD383UK7VUDTGL">#REF!</definedName>
    <definedName name="XRefPaste62">#REF!</definedName>
    <definedName name="XRefCopy79Row">#REF!</definedName>
    <definedName localSheetId="1" name="BEx91OTVH9ZDBC3QTORU8RZX4EOC">#REF!</definedName>
    <definedName localSheetId="1" name="BExQHCZSBYUY8OKKJXFYWKBBM6AH">#REF!</definedName>
    <definedName name="XRefPaste123Row">#REF!</definedName>
    <definedName name="BExB7265DCHKS7V2OWRBXCZTEIW9">#REF!</definedName>
    <definedName name="_35__123Graph_CHO_MPRICE">#REF!</definedName>
    <definedName name="BExB2CJHTU7C591BR4WRL5L2F2K6">#REF!</definedName>
    <definedName localSheetId="1" name="BEx75HGCCV5K4UCJWYV8EV9AG5YT">#REF!</definedName>
    <definedName name="XRefPaste8Row">#REF!</definedName>
    <definedName localSheetId="1" name="BEx7K7GZ607XQOGB81A1HINBTGOZ">#REF!</definedName>
    <definedName localSheetId="1" name="BEx5JQCNT9Y4RM306CHC8IPY3HBZ">#REF!</definedName>
    <definedName name="BExEYOW8C1B3OUUCIGEC7L8OOW1Z">#REF!</definedName>
    <definedName localSheetId="1" name="BExSB4JYKQ3MINI7RAYK5M8BLJDC">#REF!</definedName>
    <definedName name="XRefPaste11">#REF!</definedName>
    <definedName localSheetId="1" name="BExO5XMAHL7CY3X0B1OPKZ28DCJ5">#REF!</definedName>
    <definedName name="BExU4GDVLPUEWBA4MRYRTQAUNO7B">#REF!</definedName>
    <definedName name="BExF1MU4W3NPEY0OHRDWP5IANCBB">#REF!</definedName>
    <definedName localSheetId="1" name="BEx5C49ZFH8TO9ZU55729C3F7XG7">#REF!</definedName>
    <definedName name="XRefPaste105">#REF!</definedName>
    <definedName localSheetId="1" name="BExD9TK2MIWFH5SKUYU9ZKF4NPHQ">#REF!</definedName>
    <definedName name="BEx1HETBBZVN5F43LKOFMC4QB0CR">#REF!</definedName>
    <definedName localSheetId="1" name="BEx1Z2RYHSVD1H37817SN93VMURZ">#REF!</definedName>
    <definedName localSheetId="1" name="BEx5HZ9JMKHNLFWLVUB1WP5B39BL">#REF!</definedName>
    <definedName localSheetId="1" name="BEx1JXBM5W4YRWNQ0P95QQS6JWD6">#REF!</definedName>
    <definedName localSheetId="1" name="BExD3F368X5S25MWSUNIV57RDB57">#REF!</definedName>
    <definedName name="BExVTXLMYR87BC04D1ERALPUFVPG">#REF!</definedName>
    <definedName localSheetId="1" name="BExQ56Z9W6YHZHRXOFFI8EFA7CDI">#REF!</definedName>
    <definedName localSheetId="1" name="BExAYHMLXGGO25P8HYB2S75DEB4F">#REF!</definedName>
    <definedName localSheetId="1" name="BExF2DYO1WQ7GMXSTAQRDBW1NSFG">#REF!</definedName>
    <definedName localSheetId="1" name="BEx7E6N29HGH3I47AFB2DCS6MVS6">#REF!</definedName>
    <definedName name="XRefPaste35Row">#REF!</definedName>
    <definedName localSheetId="1" name="BExIWG1W7XP9DFYYSZAIOSHM0QLQ">#REF!</definedName>
    <definedName localSheetId="1" name="XRefPaste122Row">#REF!</definedName>
    <definedName localSheetId="1" name="BExMDIRDK0DI8P86HB7WPH8QWLSQ">#REF!</definedName>
    <definedName name="BEx1R9YFKJCMSEST8OVCAO5E47FO">#REF!</definedName>
    <definedName localSheetId="1" name="BExONJ1BU17R0F5A2UP1UGJBOGKS">#REF!</definedName>
    <definedName localSheetId="1" name="BExF2MSWNUY9Z6BZJQZ538PPTION">#REF!</definedName>
    <definedName localSheetId="1" name="BExF4PVMZYV36E8HOYY06J81AMBI">#REF!</definedName>
    <definedName name="BExXW27MMXHXUXX78SDTBE1JYTHT">#REF!</definedName>
    <definedName localSheetId="1" name="BExIUYPDT1AM6MWGWQS646PIZIWC">#REF!</definedName>
    <definedName localSheetId="1" name="XRefCopy136">#REF!</definedName>
    <definedName name="ACwvu.RES432.">#REF!</definedName>
    <definedName localSheetId="1" name="BExAYE6LNIEBR9DSNI5JGNITGKIT">#REF!</definedName>
    <definedName localSheetId="1" name="BExVZ5IEXO149J80YHPIOWN3D6FF">#REF!</definedName>
    <definedName name="BEx9GGY04V0ZWI6O9KZH4KSBB389">#REF!</definedName>
    <definedName localSheetId="1" name="BExOCBSF3XGO9YJ23LX2H78VOUR7">#REF!</definedName>
    <definedName name="BExTUKXSZBM7C57G6NGLWGU4WOHY">#REF!</definedName>
    <definedName localSheetId="1" name="BExIWKE9MGIDWORBI43AWTUNYFAN">#REF!</definedName>
    <definedName localSheetId="1" name="BExEOBX3WECDMYCV9RLN49APTXMM">#REF!</definedName>
    <definedName name="BExIGWT86FPOEYTI8GXCGU5Y3KGK">#REF!</definedName>
    <definedName localSheetId="1" name="BExF81GI8B8WBHXFTET68A9358BR">#REF!</definedName>
    <definedName localSheetId="1" name="BExH2JZR49T7644JFVE7B3N7RZM9">#REF!</definedName>
    <definedName localSheetId="1" name="ACwvu.VERLUCRO.">#REF!</definedName>
    <definedName name="BEx1SVNCHNANBJIDIQVB8AFK4HAN">#REF!</definedName>
    <definedName name="BEx1PA11BLPVZM8RC5BL46WX8YB5">#REF!</definedName>
    <definedName name="XRefPaste22">#REF!</definedName>
    <definedName localSheetId="1" name="BExW4GPW71EBF8XPS2QGVQHBCDX3">#REF!</definedName>
    <definedName name="BExKI4076KXCDE5KXL79KT36OKLO">#REF!</definedName>
    <definedName name="BExRYOYB4A3E5F6MTROY69LR0PMG">#REF!</definedName>
    <definedName localSheetId="1" name="BExZOZSWGLSY2XYVRIS6VSNJDSGD">#REF!</definedName>
    <definedName localSheetId="1" name="BExIVMOIPSEWSIHIDDLOXESQ28A0">#REF!</definedName>
    <definedName name="BExOFVLXVD6RVHSQO8KZOOACSV24">#REF!</definedName>
    <definedName name="BEx94GXG30CIVB6ZQN3X3IK6BZXQ">#REF!</definedName>
    <definedName localSheetId="1" name="BExILG5F338C0FFLMVOKMKF8X5ZP">#REF!</definedName>
    <definedName localSheetId="1" name="BExKJ449HLYX2DJ9UF0H9GTPSQ73">#REF!</definedName>
    <definedName name="BExSIFUDNRWXWIWNGCCFOOD8WIAZ">#REF!</definedName>
    <definedName name="BExIUTB5OAAXYW0OFMP0PS40SPOB">#REF!</definedName>
    <definedName localSheetId="1" name="BExODEWDDEABM4ZY3XREJIBZ8IVP">#REF!</definedName>
    <definedName name="BEx3PP1RRSFZ8UC0JC9R91W6LNKW">#REF!</definedName>
    <definedName name="ACwvu.ELIMLUCRO.">#REF!</definedName>
    <definedName localSheetId="1" name="BEx1SSNEZINBJT29QVS62VS1THT4">#REF!</definedName>
    <definedName localSheetId="1" name="BEx7HGVBEF4LEIF6RC14N3PSU461">#REF!</definedName>
    <definedName localSheetId="1" name="BExOMKPURE33YQ3K1JG9NVQD4W49">#REF!</definedName>
    <definedName name="BExMKTW7R5SOV4PHAFGHU3W73DYE">#REF!</definedName>
    <definedName name="BExOO1WWIZSGB0YTGKESB45TSVMZ">#REF!</definedName>
    <definedName localSheetId="1" name="BExVY1SV37DL5YU59HS4IG3VBCP4">#REF!</definedName>
    <definedName localSheetId="1" name="XRefPaste18Row">#REF!</definedName>
    <definedName name="BExCU8O54I3P3WRYWY1CRP3S78QY">#REF!</definedName>
    <definedName name="BExMI8JB94SBD9EMNJEK7Y2T6GYU">#REF!</definedName>
    <definedName localSheetId="1" name="BExQ783XTMM2A9I3UKCFWJH1PP2N">#REF!</definedName>
    <definedName name="BExAW4IIW5D0MDY6TJ3G4FOLPYIR">#REF!</definedName>
    <definedName localSheetId="1" name="BExQ8G0K46ZORA0QVQTDI7Z8LXGF">#REF!</definedName>
    <definedName name="BEx00JC31DY11L45SEU4B10BIN6W">#REF!</definedName>
    <definedName name="BExEPUGSVB4X0IDBHLYDQHC6B7IX">#REF!</definedName>
    <definedName name="BExMALEWFUEM8Y686IT03ECURUBR">#REF!</definedName>
    <definedName localSheetId="1" name="BEx79JK3E6JO8MX4O35A5G8NZCC8">#REF!</definedName>
    <definedName localSheetId="1" name="BExGQ1ZU4967P72AHF4V1D0FOL5C">#REF!</definedName>
    <definedName name="BEx1OO5ER042IS6IC4TLDI75JNVH">#REF!</definedName>
    <definedName localSheetId="1" name="_48__123Graph_FHO_MPRICE">#REF!</definedName>
    <definedName name="BExCZFZCXMLY5DWESYJ9NGTJYQ8M">#REF!</definedName>
    <definedName name="BEx3D9G6QTSPF9UYI4X0XY0VE896">#REF!</definedName>
    <definedName localSheetId="1" name="BEx3FI2G3YYIACQHXNXEA15M8ZK5">#REF!</definedName>
    <definedName name="BEx9J6CH5E7YZPER7HXEIOIKGPCA">#REF!</definedName>
    <definedName localSheetId="1" name="BEx7DVP5VGP2LUGO31SPRQONJD4P">#REF!</definedName>
    <definedName localSheetId="1" name="BEx5PRXMZ5M65Z732WNNGV564C2J">#REF!</definedName>
    <definedName localSheetId="1" name="BExINP2H4KI05FRFV5PKZFE00HKO">#REF!</definedName>
    <definedName name="XRefCopy31Row">#REF!</definedName>
    <definedName name="BExS1UE39N6NCND7MAARSBWXS6HU">#REF!</definedName>
    <definedName localSheetId="1" name="BExXUYND6EJO7CJ5KRICV4O1JNWK">#REF!</definedName>
    <definedName localSheetId="1" name="BExVZB1Y5J4UL2LKK0363EU7GIJ1">#REF!</definedName>
    <definedName name="BEx3CO0SVO4WLH0DO43DCHYDTH1P">#REF!</definedName>
    <definedName localSheetId="1" name="BExXQH41O5HZAH8BO6HCFY8YC3TU">#REF!</definedName>
    <definedName name="BExS0GHQUF6YT0RU3TKDEO8CSJYB">#REF!</definedName>
    <definedName name="BExINZELVWYGU876QUUZCIMXPBQC">#REF!</definedName>
    <definedName localSheetId="1" name="XRefCopy60Row">#REF!</definedName>
    <definedName name="BExMIIQ5MBWSIHTFWAQADXMZC22Q">#REF!</definedName>
    <definedName localSheetId="1" name="BExDCP3UZ3C2O4C1F7KMU0Z9U32N">#REF!</definedName>
    <definedName localSheetId="1" name="BEx001CNWHJ5RULCSFM36ZCGJ1UH">#REF!</definedName>
    <definedName localSheetId="1" name="BEx5HFHMABAT0H9KKS754X4T304E">#REF!</definedName>
    <definedName localSheetId="1" name="BExQGO48J9MPCDQ96RBB9UN9AIGT">#REF!</definedName>
    <definedName name="BExKU3FBLHQBIUTN6XEZW5GC9OG1">#REF!</definedName>
    <definedName name="BExAYHMLXGGO25P8HYB2S75DEB4F">#REF!</definedName>
    <definedName name="BExKKIX1BCBQ4R3K41QD8NTV0OV0">#REF!</definedName>
    <definedName localSheetId="1" name="BExU1QZEEKJA35IMEOLOJ3ODX0ZA">#REF!</definedName>
    <definedName name="BExESZAW5N443NRTKIP59OEI1CR6">#REF!</definedName>
    <definedName name="BEx3QVGG7Q2X4HZHJAM35A8T3VR7">#REF!</definedName>
    <definedName name="XRefPaste12Row">#REF!</definedName>
    <definedName name="XRefPaste128Row">#REF!</definedName>
    <definedName name="BEx3LM1PR4Y7KINKMTMKR984GX8Q">#REF!</definedName>
    <definedName name="XRefCopy50Row">#REF!</definedName>
    <definedName localSheetId="1" name="BEx1PA11BLPVZM8RC5BL46WX8YB5">#REF!</definedName>
    <definedName name="XREF_COLUMN_3">#REF!</definedName>
    <definedName localSheetId="1" name="XRefPaste132">#REF!</definedName>
    <definedName localSheetId="1" name="BExKJINMXS61G2TZEXCJAWVV4F57">#REF!</definedName>
    <definedName localSheetId="1" name="BEx962BL3Y4LA53EBYI64ZYMZE8U">#REF!</definedName>
    <definedName name="BExSAUTCT4P7JP57NOR9MTX33QJZ">#REF!</definedName>
    <definedName name="BExGU6HTKLRZO8UOI3DTAM5RFDBA">#REF!</definedName>
    <definedName name="XRefCopy70Row">#REF!</definedName>
    <definedName localSheetId="1" name="BExZOVR745T5P1KS9NV2PXZPZVRG">#REF!</definedName>
    <definedName name="BExKQVL7HPOIZ4FHANDFMVOJLEPR">#REF!</definedName>
    <definedName name="XRefPaste46">#REF!</definedName>
    <definedName localSheetId="1" name="BExRZK9RAHMM0ZLTNSK7A4LDC42D">#REF!</definedName>
    <definedName name="BExXR3W3FKYQBLR299HO9RZ70C43">#REF!</definedName>
    <definedName localSheetId="1" name="BExVUL9V3H8ZF6Y72LQBBN639YAA">#REF!</definedName>
    <definedName localSheetId="1" name="BExB1Q29OO6LNFNT1EQLA3KYE7MX">#REF!</definedName>
    <definedName localSheetId="1" name="BExCVKGZXE0I9EIXKBZVSGSEY2RR">#REF!</definedName>
    <definedName name="BExBCVIB10IIHH3F8IPM2KZKK0O5">#REF!</definedName>
    <definedName localSheetId="1" name="BExXN1XNO7H60M9X1E7EVWFJDM5N">#REF!</definedName>
    <definedName localSheetId="1" name="BExH08Z6LQCGGSGSAILMHX4X7JMD">#REF!</definedName>
    <definedName localSheetId="1" name="BEx7CW1CF00DO8A36UNC2X7K65C2">#REF!</definedName>
    <definedName localSheetId="1" name="BExU16R10W1SOAPNG4CDJ01T7JRE">#REF!</definedName>
    <definedName localSheetId="1" name="BExEW0JL1GFFCXMDGW54CI7Y8FZN">#REF!</definedName>
    <definedName name="BEx91AQQRTV87AO27VWHSFZAD4ZR">#REF!</definedName>
    <definedName localSheetId="1" name="BExMHOWPB34KPZ76M2KIX2C9R2VB">#REF!</definedName>
    <definedName name="BEx7IBVYN47SFZIA0K4MDKQZNN9V">#REF!</definedName>
    <definedName localSheetId="1" name="BEx7FN32ZGWOAA4TTH79KINTDWR9">#REF!</definedName>
    <definedName name="BExSGR5JQVX2HQ0PKCGZNSSUM1RV">#REF!</definedName>
    <definedName name="BExUA28AO7OWDG3H23Q0CL4B7BHW">#REF!</definedName>
    <definedName localSheetId="1" name="BEx3C2QR0WUD19QSVO8EMIPNQJKH">#REF!</definedName>
    <definedName name="BExKEFE0I3MT6ZLC4T1L9465HKTN">#REF!</definedName>
    <definedName localSheetId="1" name="XRefCopy70Row">#REF!</definedName>
    <definedName name="BExIHPQCQTGEW8QOJVIQ4VX0P6DX">#REF!</definedName>
    <definedName name="BEx91TMID71GVYH0U16QM1RV3PX0">#REF!</definedName>
    <definedName localSheetId="1" name="_28__123Graph_BCHART_8">#REF!</definedName>
    <definedName localSheetId="1" name="BEx3FHMD1P5XBCH23ZKIFO6ZTCNB">#REF!</definedName>
    <definedName localSheetId="1" name="BEx1L2OG1SDFK2TPXELJ77YP4NI2">#REF!</definedName>
    <definedName localSheetId="1" name="BExIOCQUQHKUU1KONGSDOLQTQEIC">#REF!</definedName>
    <definedName localSheetId="1" name="BExEVET98G3FU6QBF9LHYWSAMV0O">#REF!</definedName>
    <definedName localSheetId="1" name="BEx5BYFMZ80TDDN2EZO8CF39AIAC">#REF!</definedName>
    <definedName localSheetId="1" name="BExMRENOIARWRYOIVPDIEBVNRDO7">#REF!</definedName>
    <definedName name="BExS8HJRBVG0XI6PWA9KTMJZMQXK">#REF!</definedName>
    <definedName name="BExB6C8X6JYRLKZKK17VE3QUNL3D">#REF!</definedName>
    <definedName name="BExS81TE0EY44Y3W2M4Z4MGNP5OM">#REF!</definedName>
    <definedName name="BExKODIZGWW2EQD0FEYW6WK6XLCM">#REF!</definedName>
    <definedName name="BExEVWCKO8T84GW9Z3X47915XKSH">#REF!</definedName>
    <definedName localSheetId="1" name="BEx7ASD1I654MEDCO6GGWA95PXSC">#REF!</definedName>
    <definedName name="XRefCopy59Row">#REF!</definedName>
    <definedName name="BEx9F0Y2ESUNE3U7TQDLMPE9BO67">#REF!</definedName>
    <definedName localSheetId="1" name="BExMHSSYC6KVHA3QDTSYPN92TWMI">#REF!</definedName>
    <definedName name="_59__123Graph_XCHART_8">#REF!</definedName>
    <definedName name="BExQ84MJB94HL3BWRN50M4NCB6Z0">#REF!</definedName>
    <definedName name="BEx5FNI2O10YN2SI1NO4X5GP3GTF">#REF!</definedName>
    <definedName name="BExU86NB26MCPYIISZ36HADONGT2">#REF!</definedName>
    <definedName name="BExQ7MY3U2Z1IZ71U5LJUD00VVB4">#REF!</definedName>
    <definedName localSheetId="1" name="BExQ9UTANMJCK7LJ4OQMD6F2Q01L">#REF!</definedName>
    <definedName localSheetId="1" name="BEx1KKP1ELIF2UII2FWVGL7M1X7J">#REF!</definedName>
    <definedName localSheetId="1" name="BExOGFE2SCL8HHT4DFAXKLUTJZOG">#REF!</definedName>
    <definedName localSheetId="1" name="XRefCopy43">#REF!</definedName>
    <definedName name="BEx9GZ2P3FDHKXEBXX2VS0BG2NP2">#REF!</definedName>
    <definedName localSheetId="1" name="BExZZ2FQA9A8C7CJKMEFQ9VPSLCE">#REF!</definedName>
    <definedName name="BExD2HTPC7IWBAU6OSQ67MQA8BYZ">#REF!</definedName>
    <definedName localSheetId="1" name="BEx1OVSMPADTX95QUOX34KZQ8EDY">#REF!</definedName>
    <definedName name="BExQ9ZLYHWABXAA9NJDW8ZS0UQ9P">#REF!</definedName>
    <definedName localSheetId="1" name="XRefPaste104">#REF!</definedName>
    <definedName name="XRefCopy136">#REF!</definedName>
    <definedName name="BExMKGK5FJUC0AU8MABRGDC5ZM70">#REF!</definedName>
    <definedName name="BExZXT6JOXNKEDU23DKL8XZAJZIH">#REF!</definedName>
    <definedName localSheetId="1" name="_Key2">#REF!</definedName>
    <definedName localSheetId="1" name="_18__123Graph_ACHART_9">#REF!</definedName>
    <definedName name="BEx92FI04PJT4LI23KKIHRXWJDTT">#REF!</definedName>
    <definedName localSheetId="1" name="XRefCopy13Row">#REF!</definedName>
    <definedName name="BExZR485AKBH93YZ08CMUC3WROED">#REF!</definedName>
    <definedName name="BEx1JKKZSJ7DI4PTFVI9VVFMB1X2">#REF!</definedName>
    <definedName localSheetId="1" name="BExBBUCJQRR74Q7GPWDEZXYK2KJL">#REF!</definedName>
    <definedName name="BExZSI9USDLZAN8LI8M4YYQL24GZ">#REF!</definedName>
    <definedName name="XRefPaste57Row">#REF!</definedName>
    <definedName name="BEx9871KU0N99P0900EAK69VFYT2">#REF!</definedName>
    <definedName name="BExCUR94DHCE47PUUWEMT5QZOYR2">#REF!</definedName>
    <definedName name="XRefCopy64">#REF!</definedName>
    <definedName localSheetId="1" name="BExSHOKK1OO3CX9Z28C58E5J1D9W">#REF!</definedName>
    <definedName name="BExIPKNFUDPDKOSH5GHDVNA8D66S">#REF!</definedName>
    <definedName localSheetId="1" name="BExF4MVQM5Y0QRDLDFSKWWTF709C">#REF!</definedName>
    <definedName localSheetId="1" name="BEx75PZT8TY5P13U978NVBUXKHT4">#REF!</definedName>
    <definedName name="BExU0FH5WTGW8MRFUFMDDSMJ6YQ5">#REF!</definedName>
    <definedName localSheetId="1" name="BExXO278QHQN8JDK5425EJ615ECC">#REF!</definedName>
    <definedName localSheetId="1" name="BEx1Y2IGS2K95E1M51PEF9KJZ0KB">#REF!</definedName>
    <definedName localSheetId="1" name="BExW967733Q8RAJOHR2GJ3HO8JIW">#REF!</definedName>
    <definedName name="BEx7K7GZ607XQOGB81A1HINBTGOZ">#REF!</definedName>
    <definedName localSheetId="1" name="BEx5I244LQHZTF3XI66J8705R9XX">#REF!</definedName>
    <definedName name="BExB55368XW7UX657ZSPC6BFE92S">#REF!</definedName>
    <definedName name="BEx3RQ10QIWBAPHALAA91BUUCM2X">#REF!</definedName>
    <definedName localSheetId="1" name="BExGLYE6RZTAAWHJBG2QFJPTDS2Q">#REF!</definedName>
    <definedName name="BEx3UR4A5PRJ338NMHPZF21JOMU0">#REF!</definedName>
    <definedName localSheetId="1" name="XREF_COLUMN_29">#REF!</definedName>
    <definedName name="BEx5A11WZRQSIE089QE119AOX9ZG">#REF!</definedName>
    <definedName localSheetId="1" name="BEx7HQ5T9FZ42QWS09UO4DT42Y0R">#REF!</definedName>
    <definedName localSheetId="1" name="XRefPaste18">#REF!</definedName>
    <definedName localSheetId="1" name="XRefPaste32Row">#REF!</definedName>
    <definedName localSheetId="1" name="BExQF9X2AQPFJZTCHTU5PTTR0JAH">#REF!</definedName>
    <definedName name="_36__123Graph_CO_MPRICE">#REF!</definedName>
    <definedName localSheetId="1" name="BEx9602K2GHNBUEUVT9ONRQU1GMD">#REF!</definedName>
    <definedName name="BExTU2YFQ25JQ6MEMRHHN66VLTPJ">#REF!</definedName>
    <definedName localSheetId="1" name="BExQGSBB6MJWDW7AYWA0MSFTXKRR">#REF!</definedName>
    <definedName localSheetId="1" name="BExCY6VMJ68MX3C981R5Q0BX5791">#REF!</definedName>
    <definedName name="BExQA55GY0STSNBWQCWN8E31ZXCS">#REF!</definedName>
    <definedName localSheetId="1" name="BExOLOI0WJS3QC12I3ISL0D9AWOF">#REF!</definedName>
    <definedName name="BExQAG8PP8R5NJKNQD1U4QOSD6X5">#REF!</definedName>
    <definedName localSheetId="1" name="BExB6YPZ5RW3TEKIBOZD2R4PX1TF">#REF!</definedName>
    <definedName name="BEx74W6BJ8ENO3J25WNM5H5APKA3">#REF!</definedName>
    <definedName name="BExZSS0LA2JY4ZLJ1Z5YCMLJJZCH">#REF!</definedName>
    <definedName name="XRefPaste132Row">#REF!</definedName>
    <definedName localSheetId="1" name="ask">#REF!</definedName>
    <definedName name="BExINLX401ZKEGWU168DS4JUM2J6">#REF!</definedName>
    <definedName name="BExQHZBHVN2L4HC7ACTR73T5OCV0">#REF!</definedName>
    <definedName localSheetId="1" name="XRefPaste136Row">#REF!</definedName>
    <definedName localSheetId="1" name="BExW3T1K638HT5E0Y8MMK108P5JT">#REF!</definedName>
    <definedName name="BExEYLG9FL9V1JPPNZ3FUDNSEJ4V">#REF!</definedName>
    <definedName name="BEx7L5C6U8MP6IZ67BD649WQYJEK">#REF!</definedName>
    <definedName name="BExTWI0Q8AWXUA3ZN7I5V3QK2KM1">#REF!</definedName>
    <definedName name="BExRYZLA9EW71H4SXQR525S72LLP">#REF!</definedName>
    <definedName name="XRefCopy78">#REF!</definedName>
    <definedName name="BEx1SK3U02H0RGKEYXW7ZMCEOF3V">#REF!</definedName>
    <definedName name="BExOMU0A6XMY48SZRYL4WQZD13BI">#REF!</definedName>
    <definedName localSheetId="1" name="BEx91ROALDNHO7FI4X8L61RH4UJE">#REF!</definedName>
    <definedName name="BEx7GSAL6P7TASL8MB63RFST1LJL">#REF!</definedName>
    <definedName name="BEx759D1D5SXS5ELLZVBI0SXYUNF">#REF!</definedName>
    <definedName localSheetId="1" name="BExMM8ZRS5RQ8H1H55RVPVTDL5NL">#REF!</definedName>
    <definedName localSheetId="1" name="BExMQ71WHW50GVX45JU951AGPLFQ">#REF!</definedName>
    <definedName localSheetId="1" name="BEx7KSAS8BZT6H8OQCZ5DNSTMO07">#REF!</definedName>
    <definedName name="BExD4H5GQWXBS6LUL3TSP36DVO38">#REF!</definedName>
    <definedName name="BEx7L8XOV64OMS15ZFURFEUXLMWF">#REF!</definedName>
    <definedName name="BEx1XK8AAMO0AH0Z1OUKW30CA7EQ">#REF!</definedName>
    <definedName localSheetId="1" name="BExU6WXXC7SSQDMHSLUN5C2V4IYX">#REF!</definedName>
    <definedName localSheetId="1" name="BExGR65GJX27MU2OL6NI5PB8XVB4">#REF!</definedName>
    <definedName localSheetId="1" name="BExVT9H0R0T7WGQAAC0HABMG54YM">#REF!</definedName>
    <definedName localSheetId="1" name="XRefCopy63">#REF!</definedName>
    <definedName name="BExVYVGWN7SONLVDH9WJ2F1JS264">#REF!</definedName>
    <definedName name="BExF2DYO1WQ7GMXSTAQRDBW1NSFG">#REF!</definedName>
    <definedName name="BExSCOG41SKKG4GYU76WRWW1CTE6">#REF!</definedName>
    <definedName name="BExQEQ4XZQFIKUXNU9H7WE7AMZ1U">#REF!</definedName>
    <definedName localSheetId="1" name="BExZOETNB1CJ3Y2RKLI1ZK0S8Z6H">#REF!</definedName>
    <definedName localSheetId="1" name="BExOHTQPP8LQ98L6PYUI6QW08YID">#REF!</definedName>
    <definedName localSheetId="1" name="BExZJOQR77H0P4SUKVYACDCFBBXO">#REF!</definedName>
    <definedName localSheetId="1" name="BExAX410NB4F2XOB84OR2197H8M5">#REF!</definedName>
    <definedName name="BExZK34NR4BAD7HJAP7SQ926UQP3">#REF!</definedName>
    <definedName name="BExISC5B700MZUBFTQ9K4IKTF7HR">#REF!</definedName>
    <definedName localSheetId="1" name="BExKEW0RR5LA3VC46A2BEOOMQE56">#REF!</definedName>
    <definedName name="BExXU8VLZA7WLPZ3RAQZGNERUD26">#REF!</definedName>
    <definedName name="BEx1MTRKKVCHOZ0YGID6HZ49LJTO">#REF!</definedName>
    <definedName localSheetId="1" name="BExBBV8XVMD9CKZY711T0BN7H3PM">#REF!</definedName>
    <definedName localSheetId="1" name="BEx5FGLQVACD5F5YZG4DGSCHCGO2">#REF!</definedName>
    <definedName name="BExVW6YTKA098AF57M4PHNQ54XMH">#REF!</definedName>
    <definedName name="BEx5LTKQ8RQWJE4BC88OP928893U">#REF!</definedName>
    <definedName name="XREF_COLUMN_27">#REF!</definedName>
    <definedName localSheetId="1" name="BEx1OX544IO9FQJI7YYQGZCEHB3O">#REF!</definedName>
    <definedName localSheetId="1" name="BExZXOJDELULNLEH7WG0OYJT0NJ4">#REF!</definedName>
    <definedName name="BExD3A588E939V61P1XEW0FI5Q0S">#REF!</definedName>
    <definedName name="BExD4JJSS3QDBLABCJCHD45SRNPI">#REF!</definedName>
    <definedName localSheetId="1" name="BEx3OXRYJZUEY6E72UJU0PHLMYAR">#REF!</definedName>
    <definedName localSheetId="1" name="BEx1LDMB9RW982DUILM2WPT5VWQ3">#REF!</definedName>
    <definedName localSheetId="1" name="_56__123Graph_XCHART_10">#REF!</definedName>
    <definedName localSheetId="1" name="BExSCOG41SKKG4GYU76WRWW1CTE6">#REF!</definedName>
    <definedName name="BExTWJTIA3WUW1PUWXAOP9O8NKLZ">#REF!</definedName>
    <definedName name="BExIVQVKLMGSRYT1LFZH0KUIA4OR">#REF!</definedName>
    <definedName name="BExCVV44WY5807WGMTGKPW0GT256">#REF!</definedName>
    <definedName localSheetId="1" name="BEx95QHBVDN795UNQJLRXG3RDU49">#REF!</definedName>
    <definedName name="XRefPaste38Row">#REF!</definedName>
    <definedName name="BEx7IV2IJ5WT7UC0UG7WP0WF2JZI">#REF!</definedName>
    <definedName name="BExOD55RS7BQUHRQ6H3USVGKR0P7">#REF!</definedName>
    <definedName localSheetId="1" name="BExXNBOA39T2X6Y5Y5GZ5DDNA1AX">#REF!</definedName>
    <definedName localSheetId="1" name="BEx7C93VR7SYRIJS1JO8YZKSFAW9">#REF!</definedName>
    <definedName name="BExD97TXIO0COVNN4OH3DEJ33YLM">#REF!</definedName>
    <definedName localSheetId="1" name="XRefPaste121Row">#REF!</definedName>
    <definedName localSheetId="1" name="BExS9WI0A6PSEB8N9GPXF2Z7MWHM">#REF!</definedName>
    <definedName name="ACwvu.VERLUCRO.">#REF!</definedName>
    <definedName name="XRefPaste62Row">#REF!</definedName>
    <definedName localSheetId="1" name="BExW3GB28STOMJUSZEIA7YKYNS4Y">#REF!</definedName>
    <definedName name="BExKJELX2RUC8UEC56IZPYYZXHA7">#REF!</definedName>
    <definedName name="XREF_COLUMN_30">#REF!</definedName>
    <definedName localSheetId="1" name="BExXSBSP1TOY051HSPEPM0AEIO2M">#REF!</definedName>
    <definedName localSheetId="1" name="BExD9L0ID3VSOU609GKWYTA5BFMA">#REF!</definedName>
    <definedName localSheetId="1" name="XRefPaste130">#REF!</definedName>
    <definedName name="BExGR9ATP2LVT7B9OCPSLJ11H9SX">#REF!</definedName>
    <definedName name="BExO89ZIOXN0HOKHY24F7HDZ87UT">#REF!</definedName>
    <definedName localSheetId="1" name="BExQCI9R9LRWCBHD0WDH5HFJL94W">#REF!</definedName>
    <definedName localSheetId="1" name="BEx3Q7BZ9PUXK2RLIOFSIS9AHU1B">#REF!</definedName>
    <definedName localSheetId="1" name="_20__123Graph_ACHART_8">#REF!</definedName>
    <definedName localSheetId="1" name="BExIORA3GK78T7C7SNBJJUONJ0LS">#REF!</definedName>
    <definedName localSheetId="1" name="BExQ7B3V9MGDK2OIJ61XXFBFLJFZ">#REF!</definedName>
    <definedName name="XREF_COLUMN_36">#REF!</definedName>
    <definedName localSheetId="1" name="BEx3PKEMDW8KZEP11IL927C5O7I2">#REF!</definedName>
    <definedName name="BExMQ71WHW50GVX45JU951AGPLFQ">#REF!</definedName>
    <definedName localSheetId="1" name="BExQBPSOZ47V81YAEURP0NQJNTJH">#REF!</definedName>
    <definedName name="BExIUYPDT1AM6MWGWQS646PIZIWC">#REF!</definedName>
    <definedName name="XRefCopy24">#REF!</definedName>
    <definedName localSheetId="1" name="BExDAGMVMNLQ6QXASB9R6D8DIT12">#REF!</definedName>
    <definedName localSheetId="1" name="BExGODAZKJ9EXMQZNQR5YDBSS525">#REF!</definedName>
    <definedName localSheetId="1" name="XRefCopy14Row">#REF!</definedName>
    <definedName name="XRefCopy23Row">#REF!</definedName>
    <definedName name="BEx90HDD4RWF7JZGA8GCGG7D63MG">#REF!</definedName>
    <definedName name="XRefCopy134">#REF!</definedName>
    <definedName name="BEx93FRKF99NRT3LH99UTIH7AAYF">#REF!</definedName>
    <definedName name="BEx7E6N29HGH3I47AFB2DCS6MVS6">#REF!</definedName>
    <definedName name="XRefCopy62">#REF!</definedName>
    <definedName localSheetId="1" name="BEx1P1HHKJA799O3YZXQAX6KFH58">#REF!</definedName>
    <definedName localSheetId="1" name="BExB5VWYMOV6BAIH7XUBBVPU7MMD">#REF!</definedName>
    <definedName name="BExMMIQH5BABNZVCIQ7TBCQ10AY5">#REF!</definedName>
    <definedName name="BExU9KJOZLO15N11MJVN782NFGJ0">#REF!</definedName>
    <definedName name="BExY0OJHW85S0VKBA8T4HTYPYBOS">#REF!</definedName>
    <definedName name="BExS6ITKSZFRR01YD5B0F676SYN7">#REF!</definedName>
    <definedName localSheetId="1" name="BExOBOUXMP88KJY2BX2JLUJH5N0K">#REF!</definedName>
    <definedName name="BExSGOWJHRW7FWKLO2EHUOOGHNAF">#REF!</definedName>
    <definedName name="BExBAKN7XIBAXCF9PCNVS038PCQO">#REF!</definedName>
    <definedName localSheetId="1" name="AS2TickmarkLS">#REF!</definedName>
    <definedName name="BEx7DVUMFCI5INHMVFIJ44RTTSTT">#REF!</definedName>
    <definedName localSheetId="1" name="XRefPaste23Row">#REF!</definedName>
    <definedName localSheetId="1" name="BExU0BFJJQO1HJZKI14QGOQ6JROO">#REF!</definedName>
    <definedName name="BExUD9WX9BWK72UWVSLYZJLAY5VY">#REF!</definedName>
    <definedName localSheetId="1" name="BExW8YEP73JMMU9HZ08PM4WHJQZ4">#REF!</definedName>
    <definedName name="BEx7JV194190CNM6WWGQ3UBJ3CHH">#REF!</definedName>
    <definedName name="BExQ8469L3ZRZ3KYZPYMSJIDL7Y5">#REF!</definedName>
    <definedName localSheetId="1" name="BExES4A7VE2X3RYYTVRLKZD4I7WU">#REF!</definedName>
    <definedName name="BExH1FDTQXR9QQ31WDB7OPXU7MPT">#REF!</definedName>
    <definedName localSheetId="1" name="BEx94CKXG92OMURH41SNU6IOHK4J">#REF!</definedName>
    <definedName name="XRefPaste127">#REF!</definedName>
    <definedName localSheetId="1" name="BExF3A6HPA6DGYALZNHHJPMCUYZR">#REF!</definedName>
    <definedName localSheetId="1" name="BExGQ61DTJ0SBFMDFBAK3XZ9O0ZO">#REF!</definedName>
    <definedName localSheetId="1" name="BExZX2T6ZT2DZLYSDJJBPVIT5OK2">#REF!</definedName>
    <definedName localSheetId="1" name="BEx01XJ94SHJ1YQ7ORPW0RQGKI2H">#REF!</definedName>
    <definedName name="BExKO06X0EAD3ABEG1E8PWLDWHBA">#REF!</definedName>
    <definedName localSheetId="1" name="BExF5ZFO2A29GHWR5ES64Z9OS16J">#REF!</definedName>
    <definedName localSheetId="1" name="BEx99B77I7TUSHRR4HIZ9FU2EIUT">#REF!</definedName>
    <definedName localSheetId="1" name="BExY4RZW3KK11JLYBA4DWZ92M6LQ">#REF!</definedName>
    <definedName localSheetId="1" name="BEx91VF2D78PAF337E3L2L81K9W2">#REF!</definedName>
    <definedName localSheetId="1" name="BEx3O85IKWARA6NCJOLRBRJFMEWW">#REF!</definedName>
    <definedName name="BExD2CFHIRMBKN5KXE5QP4XXEWFS">#REF!</definedName>
    <definedName localSheetId="1" name="BEx5NA68N6FJFX9UJXK4M14U487F">#REF!</definedName>
    <definedName localSheetId="1" name="BExGZP1PWGFKVVVN4YDIS22DZPCR">#REF!</definedName>
    <definedName name="BExW95LN5N0LYFFVP7GJEGDVDLF0">#REF!</definedName>
    <definedName localSheetId="1" name="XREF_COLUMN_22">#REF!</definedName>
    <definedName localSheetId="1" name="XRefPaste63Row">#REF!</definedName>
    <definedName localSheetId="1" name="BExB5833OAOJ22VK1YK47FHUSVK2">#REF!</definedName>
    <definedName name="BExD0LCCDPG16YLY5WQSZF1XI5DA">#REF!</definedName>
    <definedName localSheetId="1" name="BExIKHTXPZR5A8OHB6HDP6QWDHAD">#REF!</definedName>
    <definedName localSheetId="1" name="_32__123Graph_BOP75_25RETURN">#REF!</definedName>
    <definedName localSheetId="1" name="BExZIIHH3QNQE3GFMHEE4UMHY6WQ">#REF!</definedName>
    <definedName localSheetId="1" name="XRefPaste31">#REF!</definedName>
    <definedName name="BExW5AZNT6IAZGNF2C879ODHY1B8">#REF!</definedName>
    <definedName name="BExCSZV7U67UWXL2HKJNM5W1E4OO">#REF!</definedName>
    <definedName localSheetId="1" name="BEx3PDT8GNPWLLN02IH1XPV90XYK">#REF!</definedName>
    <definedName localSheetId="1" name="BExCZJ4P8WS0BDT31WDXI0ROE7D6">#REF!</definedName>
    <definedName name="XRefCopy22Row">#REF!</definedName>
    <definedName localSheetId="1" name="BExGTZ046J7VMUG4YPKFN2K8TWB7">#REF!</definedName>
    <definedName localSheetId="1" name="BExF6EV7I35NVMIJGYTB6E24YVPA">#REF!</definedName>
    <definedName localSheetId="1" name="BExKCDYKAEV45AFXHVHZZ62E5BM3">#REF!</definedName>
    <definedName localSheetId="1" name="BExMIRKIPF27SNO82SPFSB3T5U17">#REF!</definedName>
    <definedName localSheetId="1" name="BExCWTVKHIVCRHF8GC39KI58YM5K">#REF!</definedName>
    <definedName localSheetId="1" name="BEx7KWHTBD21COXVI4HNEQH0Z3L8">#REF!</definedName>
    <definedName name="BExBAO8NLXZXHO6KCIECSFCH3RR0">#REF!</definedName>
    <definedName name="BExS51H0N51UT0FZOPZRCF1GU063">#REF!</definedName>
    <definedName localSheetId="1" name="BExB072HHXVMUC0VYNGG48GRSH5Q">#REF!</definedName>
    <definedName name="BEx3UIQ5WRJBGNTFCCLOR4N7B1OQ">#REF!</definedName>
    <definedName localSheetId="1" name="BEx1NUBX5VUYZFKQH69FN6BTLWCR">#REF!</definedName>
    <definedName name="BExS6WRDBF3ST86ZOBBUL3GTCR11">#REF!</definedName>
    <definedName name="BExY4RZW3KK11JLYBA4DWZ92M6LQ">#REF!</definedName>
    <definedName localSheetId="1" name="BExU17CKOR3GNIHDNVLH9L1IOJS9">#REF!</definedName>
    <definedName localSheetId="1" name="BExCSAOUZOYKHN7HV511TO8VDJ02">#REF!</definedName>
    <definedName name="BEx59BA1KH3RG6K1LHL7YS2VB79N">#REF!</definedName>
    <definedName name="BExXN1XNO7H60M9X1E7EVWFJDM5N">#REF!</definedName>
    <definedName name="XRefPaste68Row">#REF!</definedName>
    <definedName localSheetId="1" name="BExZXD5CPAJIQWY7VW67LBVFT6F7">#REF!</definedName>
    <definedName name="BExGR4CW3WRIID17GGX4MI9ZDHFE">#REF!</definedName>
    <definedName name="BExGUVIP60TA4B7X2PFGMBFUSKGX">#REF!</definedName>
    <definedName localSheetId="1" name="BExW4217ZHL9VO39POSTJOD090WU">#REF!</definedName>
    <definedName localSheetId="1" name="BExOPINVFSIZMCVT9YGT2AODVCX3">#REF!</definedName>
    <definedName localSheetId="1" name="BEx9F78N4HY0XFGBQ4UJRD52L1EI">#REF!</definedName>
    <definedName localSheetId="1" name="BExU0FH5WTGW8MRFUFMDDSMJ6YQ5">#REF!</definedName>
    <definedName name="BExAZTFG4SJRG4TW6JXRF7N08JFI">#REF!</definedName>
    <definedName localSheetId="1" name="BExMB4QRS0R3MTB4CMUHFZ84LNZQ">#REF!</definedName>
    <definedName name="BExIKTYZESFT3LC0ASFMFKSE0D1X">#REF!</definedName>
    <definedName localSheetId="1" name="BExB55368XW7UX657ZSPC6BFE92S">#REF!</definedName>
    <definedName localSheetId="1" name="BExS1UE39N6NCND7MAARSBWXS6HU">#REF!</definedName>
    <definedName name="XRefCopy5Row">#REF!</definedName>
    <definedName localSheetId="1" name="BExD4BR9HJ3MWWZ5KLVZWX9FJAUS">#REF!</definedName>
    <definedName localSheetId="1" name="BExUC623BDYEODBN0N4DO6PJQ7NU">#REF!</definedName>
    <definedName name="XRefCopy116">#REF!</definedName>
    <definedName name="BExKINSBB6RS7I489QHMCOMU4Z2X">#REF!</definedName>
    <definedName localSheetId="1" name="BEx59P7MAPNU129ZTC5H3EH892G1">#REF!</definedName>
    <definedName name="XRefPaste36Row">#REF!</definedName>
    <definedName name="XRefPaste33Row">#REF!</definedName>
    <definedName name="BEx1RZA1NCGT832L7EMR7GMF588W">#REF!</definedName>
    <definedName localSheetId="1" name="BEx3MEYV5LQY0BAL7V3CFAFVOM3T">#REF!</definedName>
    <definedName name="_42__123Graph_XCHART_10">#REF!</definedName>
    <definedName name="BExQ5SPMSOCJYLAY20NB5A6O32RE">#REF!</definedName>
    <definedName localSheetId="1" name="BExGNDSIMTHOCXXG6QOGR6DA8SGG">#REF!</definedName>
    <definedName name="BExU6KT19B4PG6SHXFBGBPLM66KT">#REF!</definedName>
    <definedName localSheetId="1" name="BExIYMPZ0KS2KOJFQAUQJ77L7701">#REF!</definedName>
    <definedName localSheetId="1" name="BExONIL31DZWU7IFVN3VV0XTXJA1">#REF!</definedName>
    <definedName localSheetId="1" name="XRefPaste64">#REF!</definedName>
    <definedName name="BExGR65GJX27MU2OL6NI5PB8XVB4">#REF!</definedName>
    <definedName name="BEx1HDM5ZXSJG6JQEMSFV52PZ10V">#REF!</definedName>
    <definedName localSheetId="1" name="BExB6IZMHCZ3LB7N73KD90YB1HBZ">#REF!</definedName>
    <definedName localSheetId="1" name="BExMLVI7UORSHM9FMO8S2EI0TMTS">#REF!</definedName>
    <definedName name="BExD363H2VGFIQUCE6LS4AC5J0ZT">#REF!</definedName>
    <definedName localSheetId="1" name="BExZJS6RG34ODDY9HMZ0O34MEMSB">#REF!</definedName>
    <definedName name="AS2StaticLS">#REF!</definedName>
    <definedName localSheetId="1" name="BExGV2EVT380QHD4AP2RL9MR8L5L">#REF!</definedName>
    <definedName name="BExXPELOTHOAG0OWILLAH94OZV5J">#REF!</definedName>
    <definedName localSheetId="1" name="XRefPaste120">#REF!</definedName>
    <definedName localSheetId="1" name="BEx9IXCSPSZC80YZUPRCYTG326KV">#REF!</definedName>
    <definedName localSheetId="1" name="BExCVZ5PN4V6MRBZ04PZJW3GEF8S">#REF!</definedName>
    <definedName name="BExU5DSTBWXLN6E59B757KRWRI6E">#REF!</definedName>
    <definedName name="BExU47OZMS6TCWMEHHF0UCSFLLPI">#REF!</definedName>
    <definedName localSheetId="1" name="BExKNV8UOHVWEHDJWI2WMJ9X6QHZ">#REF!</definedName>
    <definedName name="BEx3MCQ0VEBV0CZXDS505L38EQ8N">#REF!</definedName>
    <definedName localSheetId="1" name="_28__123Graph_BCHART_3">#REF!</definedName>
    <definedName name="XRefCopy13">#REF!</definedName>
    <definedName name="BExCSAE1M6G20R41J0Y24YNN0YC1">#REF!</definedName>
    <definedName name="BExU885EZZNSZV3GP298UJ8LB7OL">#REF!</definedName>
    <definedName name="BExB6C3FUAKK9ML5T767NMWGA9YB">#REF!</definedName>
    <definedName name="BEx97MNUZQ1Z0AO2FL7XQYVNCPR7">#REF!</definedName>
    <definedName localSheetId="1" name="BEx3MCQ0VEBV0CZXDS505L38EQ8N">#REF!</definedName>
    <definedName localSheetId="1" name="AS2StaticLS">#REF!</definedName>
    <definedName localSheetId="1" name="BExB0FRDEYDEUEAB1W8KD6D965XA">#REF!</definedName>
    <definedName localSheetId="1" name="BExXUB9RSLSCNN5ETLXY72DAPZZM">#REF!</definedName>
    <definedName localSheetId="1" name="_44__123Graph_XCHART_11">#REF!</definedName>
    <definedName name="BExXM3GUNXVDM82KUR17NNUMQCNI">#REF!</definedName>
    <definedName localSheetId="1" name="XRefCopy4">#REF!</definedName>
    <definedName name="BEx3IZXXSYEW50379N2EAFWO8DZV">#REF!</definedName>
    <definedName localSheetId="1" name="BExTY5T62H651VC86QM4X7E28JVA">#REF!</definedName>
    <definedName localSheetId="1" name="BExXYMNYAYH3WA2ZCFAYKZID9ZCI">#REF!</definedName>
    <definedName localSheetId="1" name="XRefPaste46">#REF!</definedName>
    <definedName name="BEx5OG4RPU8W1ETWDWM234NYYYEN">#REF!</definedName>
    <definedName name="BEx59E9WABJP2TN71QAIKK79HPK9">#REF!</definedName>
    <definedName localSheetId="1" name="BExGR4CW3WRIID17GGX4MI9ZDHFE">#REF!</definedName>
    <definedName localSheetId="1" name="BExTX476KI0RNB71XI5TYMANSGBG">#REF!</definedName>
    <definedName localSheetId="1" name="BExGYGJJJ3BBCQAOA51WHP01HN73">#REF!</definedName>
    <definedName localSheetId="1" name="BEx1FJZ7GKO99IYTP6GGGF7EUL3Z">#REF!</definedName>
    <definedName localSheetId="1" name="BExOAXW0QAMFHYD9EEFK5LDD8C3C">#REF!</definedName>
    <definedName name="BEx7809GQOCLHSNH95VOYIX7P1TV">#REF!</definedName>
    <definedName name="BEx3GEVV18SEQDI1JGY7EN6D1GT1">#REF!</definedName>
    <definedName localSheetId="1" name="BExD13RUIBGRXDL4QDZ305UKUR12">#REF!</definedName>
    <definedName name="BExB2K1AV4PGNS1O6C7D7AO411AX">#REF!</definedName>
    <definedName name="XRefCopy40Row">#REF!</definedName>
    <definedName localSheetId="1" name="BExXN0QIIZ7UY545501QB4HXODQI">#REF!</definedName>
    <definedName name="_10__123Graph_ACHART_10">#REF!</definedName>
    <definedName name="BExZMKL5YQZD7F0FUCSVFGLPFK52">#REF!</definedName>
    <definedName localSheetId="1" name="XRefCopy122">#REF!</definedName>
    <definedName name="_41__123Graph_DO_MPRICE">#REF!</definedName>
    <definedName name="BExS6XNRKR0C3MTA0LV5B60UB908">#REF!</definedName>
    <definedName name="BExQBPSOZ47V81YAEURP0NQJNTJH">#REF!</definedName>
    <definedName name="BExF7QO41X2A2SL8UXDNP99GY7U9">#REF!</definedName>
    <definedName name="XRefPaste122">#REF!</definedName>
    <definedName name="BExBAX2X2ENJYO4QTR5VAIQ86L7B">#REF!</definedName>
    <definedName name="BEx5LSJ1LPUAX3ENSPECWPG4J7D1">#REF!</definedName>
    <definedName localSheetId="1" name="BExB8HKHKZ1ORJZUYGG2M4VSCC39">#REF!</definedName>
    <definedName name="XRefCopy44">#REF!</definedName>
    <definedName localSheetId="1" name="BEx5LHLB3M6K4ZKY2F42QBZT30ZH">#REF!</definedName>
    <definedName name="BExU17CKOR3GNIHDNVLH9L1IOJS9">#REF!</definedName>
    <definedName localSheetId="1" name="BExQ9L81FF4I7816VTPFBDWVU4CW">#REF!</definedName>
    <definedName localSheetId="1" name="BExQ2FS228IUDUP2023RA1D4AO4C">#REF!</definedName>
    <definedName name="BExQ452HF7N1HYPXJXQ8WD6SOWUV">#REF!</definedName>
    <definedName name="BExUBCDVZIEA7YT0LPSMHL5ZSERQ">#REF!</definedName>
    <definedName name="BExMMPMIOU7BURTV0L1K6ACW9X73">#REF!</definedName>
    <definedName localSheetId="1" name="BEx78SFOYH1Z0ZDTO47W2M60TW6K">#REF!</definedName>
    <definedName name="BExZTW6ECBRA0BBITWBQ8R93RMCL">#REF!</definedName>
    <definedName name="BEx3HWJ5SQSD2CVCQNR183X44FR8">#REF!</definedName>
    <definedName localSheetId="1" name="BExD8OCLZMFN5K3VZYI4Q4ITVKUA">#REF!</definedName>
    <definedName localSheetId="1" name="BExGY6SU3SYVCJ3AG2ITY59SAZ5A">#REF!</definedName>
    <definedName localSheetId="1" name="BExTUY9WNSJ91GV8CP0SKJTEIV82">#REF!</definedName>
    <definedName localSheetId="1" name="BExEXRBZ0DI9E2UFLLKYWGN66B61">#REF!</definedName>
    <definedName name="BExS9WI0A6PSEB8N9GPXF2Z7MWHM">#REF!</definedName>
    <definedName localSheetId="1" name="XRefPaste124Row">#REF!</definedName>
    <definedName name="XRefActiveRow">#REF!</definedName>
    <definedName name="BExUBL83ED0P076RN9RJ8P1MZ299">#REF!</definedName>
    <definedName localSheetId="1" name="BExMPGZ848E38FUH1JBQN97DGWAT">#REF!</definedName>
    <definedName localSheetId="1" name="BExXUFRM82XQIN2T8KGLDQL1IBQW">#REF!</definedName>
    <definedName localSheetId="1" name="BEx1HQNF6KHM21E3XLW0NMSSEI9S">#REF!</definedName>
    <definedName name="BExO8UTAGQWDBQZEEF4HUNMLQCVU">#REF!</definedName>
    <definedName name="BEx3KEFXUCVNVPH7KSEGAZYX13B5">#REF!</definedName>
    <definedName localSheetId="1" name="BEx79OCP4HQ6XP8EWNGEUDLOZBBS">#REF!</definedName>
    <definedName name="BExZNZDWRS6Q40L8OCWFEIVI0A1O">#REF!</definedName>
    <definedName name="BEx1J0CSSHDJGBJUHVOEMCF2P4DL">#REF!</definedName>
    <definedName localSheetId="1" name="_46__123Graph_XCHART_8">#REF!</definedName>
    <definedName localSheetId="1" name="BEx7L5C6U8MP6IZ67BD649WQYJEK">#REF!</definedName>
    <definedName localSheetId="1" name="XRefPaste22">#REF!</definedName>
    <definedName localSheetId="1" name="BExH2ZA0SZ4SSITL50NA8LZ3OEX6">#REF!</definedName>
    <definedName name="BExF1MZN8MWMOKOARHJ1QAF9HPGT">#REF!</definedName>
    <definedName localSheetId="1" name="BExMNRDZULKJMVY2VKIIRM2M5A1M">#REF!</definedName>
    <definedName name="BEx9AT5E3ZSHKSOL35O38L8HF9TH">#REF!</definedName>
    <definedName name="BExOHR1G1I9A9CI1HG94EWBLWNM2">#REF!</definedName>
    <definedName localSheetId="1" name="BExEQTZAP8R69U31W4LKGTKKGKQE">#REF!</definedName>
    <definedName name="XRefPaste106Row">#REF!</definedName>
    <definedName name="BEx7EQKHX7GZYOLXRDU534TT4H64">#REF!</definedName>
    <definedName name="BExGSA5YB5ZGE4NHDVCZ55TQAJTL">#REF!</definedName>
    <definedName name="BEx5BAWPMY0TL684WDXX6KKJLRCN">#REF!</definedName>
    <definedName name="BExSDSGM203BJTNS9MKCBX453HMD">#REF!</definedName>
    <definedName name="BExOPINVFSIZMCVT9YGT2AODVCX3">#REF!</definedName>
    <definedName name="BExU1QZEEKJA35IMEOLOJ3ODX0ZA">#REF!</definedName>
    <definedName localSheetId="1" name="BEx1WGYTKZZIPM1577W5FEYKFH3V">#REF!</definedName>
    <definedName name="BExQ97QIPOSSRK978N8P234Y1XA4">#REF!</definedName>
    <definedName localSheetId="1" name="BExZXY4NKQL9QD76YMQJ15U1C2G8">#REF!</definedName>
    <definedName name="BExAZFCI302YFYRDJYQDWQQL0Q0O">#REF!</definedName>
    <definedName name="BExSAH6ID8OHX379UXVNGFO8J6KQ">#REF!</definedName>
    <definedName name="BExIJ3160YCWGAVEU0208ZGXXG3P">#REF!</definedName>
    <definedName name="BExBAOOT1KBSIEISN1ADL4RMY879">#REF!</definedName>
    <definedName localSheetId="1" name="BEx5OG4RPU8W1ETWDWM234NYYYEN">#REF!</definedName>
    <definedName name="BExOD4ERMDMFD8X1016N4EXOUR0S">#REF!</definedName>
    <definedName name="BExZIIHH3QNQE3GFMHEE4UMHY6WQ">#REF!</definedName>
    <definedName name="BExONNZ9VMHVX3J6NLNJY7KZA61O">#REF!</definedName>
    <definedName localSheetId="1" name="BEx3GEVV18SEQDI1JGY7EN6D1GT1">#REF!</definedName>
    <definedName name="XRefCopy42">#REF!</definedName>
    <definedName localSheetId="1" name="BEx94IQ75E90YUMWJ9N591LR7DQQ">#REF!</definedName>
    <definedName name="BExKGNK5YGKP0YHHTAAOV17Z9EIM">#REF!</definedName>
    <definedName localSheetId="1" name="BExY5ERVGL3UM2MGT8LJ0XPKTZEK">#REF!</definedName>
    <definedName localSheetId="1" name="XRefPaste138">#REF!</definedName>
    <definedName localSheetId="1" name="BExTZ97Y0RMR8V5BI9F2H4MFB77O">#REF!</definedName>
    <definedName localSheetId="1" name="BExCZUD9FEOJBKDJ51Z3JON9LKJ8">#REF!</definedName>
    <definedName name="BExOG2SW3XOGP9VAPQ3THV3VWV12">#REF!</definedName>
    <definedName localSheetId="1" name="BExBDUVGK3E1J4JY9ZYTS7V14BLY">#REF!</definedName>
    <definedName localSheetId="1" name="XREF_COLUMN_43">#REF!</definedName>
    <definedName localSheetId="1" name="BExSFJ8ZAGQ63A4MVMZRQWLVRGQ5">#REF!</definedName>
    <definedName name="BExVV7R410VYLADLX9LNG63ID6H1">#REF!</definedName>
    <definedName name="BExRZ8FMQQL46I8AQWU17LRNZD5T">#REF!</definedName>
    <definedName name="BExXRIQ2JF2CVTRDQX2D9SPH7FTN">#REF!</definedName>
    <definedName localSheetId="1" name="BExKHCFKOWFHO2WW0N7Y5XDXEWAO">#REF!</definedName>
    <definedName name="BExD5EV7KDSVF1CJT38M4IBPFLPY">#REF!</definedName>
    <definedName localSheetId="1" name="BExIWB99CG0H52LRD6QWPN4L6DV2">#REF!</definedName>
    <definedName name="BEx5KYER580I4T7WTLMUN7NLNP5K">#REF!</definedName>
    <definedName localSheetId="1" name="BExZNZDWRS6Q40L8OCWFEIVI0A1O">#REF!</definedName>
    <definedName localSheetId="1" name="BExIUD4OJGH65NFNQ4VMCE3R4J1X">#REF!</definedName>
    <definedName name="BExB1GMD0PIDGTFBGQOPRWQSP9I4">#REF!</definedName>
    <definedName localSheetId="1" name="BExVYOVIZDA18YIQ0A30Q052PCAK">#REF!</definedName>
    <definedName name="BExKHIVLONZ46HLMR50DEXKEUNEP">#REF!</definedName>
    <definedName name="BExSHOKK1OO3CX9Z28C58E5J1D9W">#REF!</definedName>
    <definedName localSheetId="1" name="BExSAH6ID8OHX379UXVNGFO8J6KQ">#REF!</definedName>
    <definedName name="BEx1LD63FP2Z4BR9TKSHOZW9KKZ5">#REF!</definedName>
    <definedName name="BEx9EQLVZHYQ1TPX7WH3SOWXCZLE">#REF!</definedName>
    <definedName name="BExW3EIBA1J9Q9NA9VCGZGRS8WV7">#REF!</definedName>
    <definedName localSheetId="1" name="XRefPaste133">#REF!</definedName>
    <definedName name="BExGWABG5VT5XO1A196RK61AXA8C">#REF!</definedName>
    <definedName name="BExMKU7051J2W1RQXGZGE62NBRUZ">#REF!</definedName>
    <definedName name="XRefCopy11Row">#REF!</definedName>
    <definedName localSheetId="1" name="BExU1VRURIWWVJ95O40WA23LMTJD">#REF!</definedName>
    <definedName name="XRefPaste9">#REF!</definedName>
    <definedName localSheetId="1" name="XRefPaste106">#REF!</definedName>
    <definedName localSheetId="1" name="BExOFEDNCYI2TPTMQ8SJN3AW4YMF">#REF!</definedName>
    <definedName localSheetId="1" name="BExY1YEBOSLMID7LURP8QB46AI91">#REF!</definedName>
    <definedName localSheetId="1" name="XRefPaste6Row">#REF!</definedName>
    <definedName name="BExU401R18N6XKZKL7CNFOZQCM14">#REF!</definedName>
    <definedName name="BExS9DX13CACP3J8JDREK30JB1SQ">#REF!</definedName>
    <definedName name="BEx1WUB1FAS5PHU33TJ60SUHR618">#REF!</definedName>
    <definedName name="BExF02Y3V3QEPO2XLDSK47APK9XJ">#REF!</definedName>
    <definedName localSheetId="1" name="BEx3M4H77MYUKOOD31H9F80NMVK8">#REF!</definedName>
    <definedName localSheetId="1" name="BExUD4IOJ12X3PJG5WXNNGDRCKAP">#REF!</definedName>
    <definedName name="BExS3LBS0SMTHALVM4NRI1BAV1NP">#REF!</definedName>
    <definedName name="XRefPaste63Row">#REF!</definedName>
    <definedName name="BExGVV6OOLDQ3TXZK51TTF3YX0WN">#REF!</definedName>
    <definedName name="XRefCopy75">#REF!</definedName>
    <definedName name="BExMEHTL5VNAGS4Z9YPDMDWHDCBZ">#REF!</definedName>
    <definedName localSheetId="1" name="Swvu.VERLUCRO.">#REF!</definedName>
    <definedName name="BExCVZ5PN4V6MRBZ04PZJW3GEF8S">#REF!</definedName>
    <definedName name="BExXZXKH7NBARQQAZM69Z57IH1MM">#REF!</definedName>
    <definedName name="BExB5EDO9XUKHF74X3HAU2WPPHZH">#REF!</definedName>
    <definedName name="XRefPaste6Row">#REF!</definedName>
    <definedName name="BEx7GR3ENYWRXXS5IT0UMEGOLGUH">#REF!</definedName>
    <definedName name="BExIOFL8Y5O61VLKTB4H20IJNWS1">#REF!</definedName>
    <definedName name="Swvu.VERLUCRO.">#REF!</definedName>
    <definedName name="BExSAFJ3IICU2M7QPVE4ARYMXZKX">#REF!</definedName>
    <definedName localSheetId="1" name="BEx5AOFIO8KVRHIZ1RII337AA8ML">#REF!</definedName>
    <definedName localSheetId="1" name="XRefCopy80">#REF!</definedName>
    <definedName localSheetId="1" name="BExD5I5X2YA2YNCTCDSMEL4CWF4N">#REF!</definedName>
    <definedName name="BExOQ256YMF115DJL3KBPNKABJ90">#REF!</definedName>
    <definedName localSheetId="1" name="BEx7AIX8KO8J5OCP6PR1PE0JGR8A">#REF!</definedName>
    <definedName name="BExCT7YIEQ7VVT8BOFSGIDDYGTOK">#REF!</definedName>
    <definedName localSheetId="1" name="BExBDJS9TUEU8Z84IV59E5V4T8K6">#REF!</definedName>
    <definedName name="BExO5XMAHL7CY3X0B1OPKZ28DCJ5">#REF!</definedName>
    <definedName name="BExO4J9LR712G00TVA82VNTG8O7H">#REF!</definedName>
    <definedName name="XRefCopy65Row">#REF!</definedName>
    <definedName name="BExGOB25QJMQCQE76MRW9X58OIOO">#REF!</definedName>
    <definedName localSheetId="1" name="BExOIM7L0Z3LSII9P7ZTV4KJ8RMA">#REF!</definedName>
    <definedName name="XRefPaste138">#REF!</definedName>
    <definedName name="BExM9OG182RP30MY23PG49LVPZ1C">#REF!</definedName>
    <definedName localSheetId="1" name="BExOCKXFMOW6WPFEVX1I7R7FNDSS">#REF!</definedName>
    <definedName name="XRefCopy34">#REF!</definedName>
    <definedName name="BExKHPM9XA0ADDK7TUR0N38EXWEP">#REF!</definedName>
    <definedName name="BEx7CIJST9GLS2QD383UK7VUDTGL">#REF!</definedName>
    <definedName name="BExOCYEXOB95DH5NOB0M5NOYX398">#REF!</definedName>
    <definedName name="BEx3R81NFRO7M81VHVKOBFT0QBIL">#REF!</definedName>
    <definedName name="AS2TickmarkLS">#REF!</definedName>
    <definedName name="BExXWWXHBZHA9J3N8K47F84X0M0L">#REF!</definedName>
    <definedName localSheetId="1" name="XRefPaste64Row">#REF!</definedName>
    <definedName localSheetId="1" name="BExQ7IWDCGGOO1HTJ97YGO1CK3R9">#REF!</definedName>
    <definedName name="XRefCopy139">#REF!</definedName>
    <definedName localSheetId="1" name="BEx1HSLNWIW4S97ZBYY7I7M5YVH4">#REF!</definedName>
    <definedName name="BEx1UI8N9KTCPSOJ7RDW0T8UEBNP">#REF!</definedName>
    <definedName name="BExAYPPWJPWDKU59O051WMGB7O0J">#REF!</definedName>
    <definedName localSheetId="1" name="BExD7JQOJ35HGL8U2OCEI2P2JT7I">#REF!</definedName>
    <definedName localSheetId="1" name="BExQI85V9TNLDJT5LTRZS10Y26SG">#REF!</definedName>
    <definedName name="_12__123Graph_ACHART_11">#REF!</definedName>
    <definedName name="BEx3PVXYZC8WB9ZJE7OCKUXZ46EA">#REF!</definedName>
    <definedName localSheetId="1" name="XRefCopy77Row">#REF!</definedName>
    <definedName localSheetId="1" name="BExVY3WFGJKSQA08UF9NCMST928Y">#REF!</definedName>
    <definedName name="XRefPaste118">#REF!</definedName>
    <definedName name="BExZXUTYW1HWEEZ1LIX4OQWC7HL1">#REF!</definedName>
    <definedName name="BExIYMPZ0KS2KOJFQAUQJ77L7701">#REF!</definedName>
    <definedName name="BExOBIPU8760ITY0C8N27XZ3KWEF">#REF!</definedName>
    <definedName name="XRefCopy1">#REF!</definedName>
    <definedName localSheetId="1" name="BExKGFRN31B3G20LMQ4LRF879J68">#REF!</definedName>
    <definedName localSheetId="1" name="BExBA69ASGYRZW1G1DYIS9QRRTBN">#REF!</definedName>
    <definedName localSheetId="1" name="BEx3VML7CG70HPISMVYIUEN3711Q">#REF!</definedName>
    <definedName localSheetId="1" name="XRefPaste30Row">#REF!</definedName>
    <definedName localSheetId="1" name="BEx1IGQ5B697MNDOE06MVSR0H58E">#REF!</definedName>
    <definedName name="BEx7EI6DL1Z6UWLFBXAKVGZTKHWJ">#REF!</definedName>
    <definedName localSheetId="1" name="BExIJFGZJ5ED9D6KAY4PGQYLELAX">#REF!</definedName>
    <definedName localSheetId="1" name="BExF67O951CF8UJF3KBDNR0E83C1">#REF!</definedName>
    <definedName name="BExB8U5N0D85YR8APKN3PPKG0FWP">#REF!</definedName>
    <definedName name="BExBD4I559NXSV6J07Q343TKYMVJ">#REF!</definedName>
    <definedName name="BExQ3TZF04IPY0B0UG9CQQ5736UA">#REF!</definedName>
    <definedName name="BExW660AV1TUV2XNUPD65RZR3QOO">#REF!</definedName>
    <definedName localSheetId="1" name="BExKSU0MKNAVZYYPKCYTZDWQX4R8">#REF!</definedName>
    <definedName localSheetId="1" name="BEx96UN4YWXBDEZ1U1ZUIPP41Z7I">#REF!</definedName>
    <definedName localSheetId="1" name="XRefPaste129">#REF!</definedName>
    <definedName name="BExZOBO9NYLGVJQ31LVQ9XS2ZT4N">#REF!</definedName>
    <definedName localSheetId="1" name="BExCVHBNLOHNFS0JAV3I1XGPNH9W">#REF!</definedName>
    <definedName localSheetId="1" name="XRefCopy120">#REF!</definedName>
    <definedName name="BExEQB8ZWXO6IIGOEPWTLOJGE2NR">#REF!</definedName>
    <definedName localSheetId="1" name="BExO9V2U2YXAY904GYYGU6TD8Y7M">#REF!</definedName>
    <definedName localSheetId="1" name="BEx1OYN1LPIPI12O9G6F7QAOS9T4">#REF!</definedName>
    <definedName name="BEx5AOFIO8KVRHIZ1RII337AA8ML">#REF!</definedName>
    <definedName localSheetId="1" name="BEx5FO8YRFSZCG3L608EHIHIHFY4">#REF!</definedName>
    <definedName localSheetId="1" name="BExEZ1S6VZCG01ZPLBSS9Z1SBOJ2">#REF!</definedName>
    <definedName localSheetId="1" name="BEx5GID9MVBUPFFT9M8K8B5MO9NV">#REF!</definedName>
    <definedName localSheetId="1" name="BEx5JHCZJ8G6OOOW6EF3GABXKH6F">#REF!</definedName>
    <definedName localSheetId="1" name="BEx3OJZSCGFRW7SVGBFI0X9DNVMM">#REF!</definedName>
    <definedName localSheetId="1" name="XRefCopy81Row">#REF!</definedName>
    <definedName name="BExTUW10U40QCYGHM5NJ3YR1O5SP">#REF!</definedName>
    <definedName localSheetId="1" name="BEx1HGWNWPLNXICOTP90TKQVVE4E">#REF!</definedName>
    <definedName name="XRefCopy66Row">#REF!</definedName>
    <definedName localSheetId="1" name="BExOLICXFHJLILCJVFMJE5MGGWKR">#REF!</definedName>
    <definedName localSheetId="1" name="BExOHX6Q6NJI793PGX59O5EKTP4G">#REF!</definedName>
    <definedName name="BExS6N0LI574IAC89EFW6CLTCQ33">#REF!</definedName>
    <definedName name="BExQ3D1P3M5Z3HLMEZ17E0BLEE4U">#REF!</definedName>
    <definedName name="BExY5SUZN9AM2SA11J2I9PAZ6PD2">#REF!</definedName>
    <definedName localSheetId="1" name="Swvu.ELIMLUCRO.">#REF!</definedName>
    <definedName localSheetId="1" name="XRefCopy72">#REF!</definedName>
    <definedName name="BEx7EBA8IYHQKT7IQAOAML660SYA">#REF!</definedName>
    <definedName name="BEx92S8MHFFIVRQ2YSHZNQGOFUHD">#REF!</definedName>
    <definedName localSheetId="1" name="BExKI7LO70WYISR7Q0Y1ZDWO9M3B">#REF!</definedName>
    <definedName localSheetId="1" name="BEx92PUBDIXAU1FW5ZAXECMAU0LN">#REF!</definedName>
    <definedName name="BExOEGT7RXQPT19VLM6OWEZYIPRJ">#REF!</definedName>
    <definedName name="BEx3KP2VRBMORK0QEAZUYCXL3DHJ">#REF!</definedName>
    <definedName localSheetId="1" name="_16__123Graph_ACHART_10">#REF!</definedName>
    <definedName localSheetId="1" name="BExEWQ0M1N3KMKTDJ73H10QSG4W1">#REF!</definedName>
    <definedName name="XRefPaste102">#REF!</definedName>
    <definedName localSheetId="1" name="BExSEEHK1VLWD7JBV9SVVVIKQZ3I">#REF!</definedName>
    <definedName localSheetId="1" name="BExGNN2YQ9BDAZXT2GLCSAPXKIM7">#REF!</definedName>
    <definedName localSheetId="1" name="BEx1UUDIQPZ23XQ79GUL0RAWRSCK">#REF!</definedName>
    <definedName name="BExOIHPQIXR0NDR5WD01BZKPKEO3">#REF!</definedName>
    <definedName name="BEx3KFXUAF6YXAA47B7Q6X9B3VGB">#REF!</definedName>
    <definedName localSheetId="1" name="BExBCKKJTIRKC1RZJRTK65HHLX4W">#REF!</definedName>
    <definedName localSheetId="1" name="BExY5986WNAD8NFCPXC9TVLBU4FG">#REF!</definedName>
    <definedName localSheetId="1" name="BExU1PH9MOEX1JZVZ3D5M9DXB191">#REF!</definedName>
    <definedName name="XRefPaste129">#REF!</definedName>
    <definedName localSheetId="1" name="BEx9H8YR0E906F1JXZMBX3LNT004">#REF!</definedName>
    <definedName name="BExEVPGF4V5J0WQRZKUM8F9TTKZJ">#REF!</definedName>
    <definedName localSheetId="1" name="BExZZTK54OTLF2YB68BHGOS27GEN">#REF!</definedName>
    <definedName name="BExTWB4LA1PODQOH4LDTHQKBN16K">#REF!</definedName>
    <definedName localSheetId="1" name="XRefCopy78">#REF!</definedName>
    <definedName name="BEx5I244LQHZTF3XI66J8705R9XX">#REF!</definedName>
    <definedName name="XRefCopy4Row">#REF!</definedName>
    <definedName localSheetId="1" name="BExU6AM82KN21E82HMWVP3LWP9IL">#REF!</definedName>
    <definedName name="BEx78HHRIWDLHQX2LG0HWFRYEL1T">#REF!</definedName>
    <definedName localSheetId="1" name="BExU7HH4EAHFQHT4AXKGWAWZP3I0">#REF!</definedName>
    <definedName name="BEx5I8PBP4LIXDGID5BP0THLO0AQ">#REF!</definedName>
    <definedName name="BEx9H04IB14E1437FF2OIRRWBSD7">#REF!</definedName>
    <definedName name="BExIQ5S19ITB0NDRUN4XV7B905ED">#REF!</definedName>
    <definedName localSheetId="1" name="BExB5QYVEZWFE5DQVHAM760EV05X">#REF!</definedName>
    <definedName localSheetId="1" name="BExZUNARUJBIZ08VCAV3GEVBIR3D">#REF!</definedName>
    <definedName localSheetId="1" name="BExS7Y2LNGVHSIBKC7C3R6X4LDR6">#REF!</definedName>
    <definedName name="BExB5U9IRH14EMOE0YGIE3WIVLFS">#REF!</definedName>
    <definedName localSheetId="1" name="BEx3OV8BH6PYNZT7C246LOAU9SVX">#REF!</definedName>
    <definedName localSheetId="1" name="BExXP80B5FGA00JCM7UXKPI3PB7Y">#REF!</definedName>
    <definedName name="BExMNR38HMPLWAJRQ9MMS3ZAZ9IU">#REF!</definedName>
    <definedName name="BEx1KGY9QEHZ9QSARMQUTQKRK4UX">#REF!</definedName>
    <definedName name="BEx3SMUCMJVGQ2H4EHQI5ZFHEF0P">#REF!</definedName>
    <definedName name="BEx3K4EII7GU1CG0BN7UL15M6J8Z">#REF!</definedName>
    <definedName localSheetId="1" name="BExSHAHFHS7MMNJR8JPVABRGBVIT">#REF!</definedName>
    <definedName name="XRefCopy33">#REF!</definedName>
    <definedName name="BEx3EHCSERZ2O2OAG8Y95UPG2IY9">#REF!</definedName>
    <definedName localSheetId="1" name="XRefPaste65">#REF!</definedName>
    <definedName localSheetId="1" name="BExF2CWZN6E87RGTBMD4YQI2QT7R">#REF!</definedName>
    <definedName localSheetId="1" name="XRefCopy14">#REF!</definedName>
    <definedName name="BEx1G59AY8195JTUM6P18VXUFJ3E">#REF!</definedName>
    <definedName name="BExU2M5CK6XK55UIHDVYRXJJJRI4">#REF!</definedName>
    <definedName localSheetId="1" name="BExMDUWB7VWHFFR266QXO46BNV2S">#REF!</definedName>
    <definedName name="BExOBM0I5L0MZ1G4H9MGMD87SBMZ">#REF!</definedName>
    <definedName localSheetId="1" name="BExD3CJJDKVR9M18XI3WDZH80WL6">#REF!</definedName>
    <definedName localSheetId="1" name="BExXTZKZ4CG92ZQLIRKEXXH9BFIR">#REF!</definedName>
    <definedName localSheetId="1" name="BExCZPKLQOOGP2OJO0XZ1SDGJ4AR">#REF!</definedName>
    <definedName localSheetId="1" name="BEx1HDM5ZXSJG6JQEMSFV52PZ10V">#REF!</definedName>
    <definedName name="BExKVDVK6HN74GQPTXICP9BFC8CF">#REF!</definedName>
    <definedName localSheetId="1" name="XRefPaste6">#REF!</definedName>
    <definedName localSheetId="1" name="BEx1YL3DJ7Y4AZ01ERCOGW0FJ26T">#REF!</definedName>
    <definedName name="BExKV4AAUNNJL5JWD7PX6BFKVS6O">#REF!</definedName>
    <definedName name="BExAYY9H9COOT46HJLPVDLTO12UL">#REF!</definedName>
    <definedName localSheetId="1" name="BExXQEEXFHDQ8DSRAJSB5ET6J004">#REF!</definedName>
    <definedName localSheetId="1" name="BExVXHKI6LFYMGWISMPACMO247HL">#REF!</definedName>
    <definedName name="XRefCopy60Row">#REF!</definedName>
    <definedName name="BExKEOOIBMP7N8033EY2CJYCBX6H">#REF!</definedName>
    <definedName name="XRefPaste130Row">#REF!</definedName>
    <definedName localSheetId="1" name="BEx77G19QU9A95CNHE6QMVSQR2T3">#REF!</definedName>
    <definedName name="BExXQU00KOR7XLM8B13DGJ1MIQDY">#REF!</definedName>
    <definedName localSheetId="1" name="_59__123Graph_XCHART_8">#REF!</definedName>
    <definedName localSheetId="1" name="BExETQ9XRXLUACN82805SPSPNKHI">#REF!</definedName>
    <definedName name="XRefCopy67Row">#REF!</definedName>
    <definedName name="BExOBYAVUCQ0IGM0Y6A75QHP0Q1A">#REF!</definedName>
    <definedName localSheetId="1" name="BExW0RI61B4VV0ARXTFVBAWRA1C5">#REF!</definedName>
    <definedName name="BEx75GJZSZHUDN6OOAGQYFUDA2LP">#REF!</definedName>
    <definedName localSheetId="1" name="BExRZOGSR69INI6GAEPHDWSNK5Q4">#REF!</definedName>
    <definedName localSheetId="1" name="BExMMH8EAZB09XXQ5X4LR0P4NHG9">#REF!</definedName>
    <definedName localSheetId="1" name="BExOD55RS7BQUHRQ6H3USVGKR0P7">#REF!</definedName>
    <definedName localSheetId="1" name="BExKEFE0I3MT6ZLC4T1L9465HKTN">#REF!</definedName>
    <definedName name="XRefPaste29">#REF!</definedName>
    <definedName localSheetId="1" name="BExQ5YUUK9FD0QGTY4WD0W90O7OL">#REF!</definedName>
    <definedName name="BEx5DAJAHQ2SKUPCKSCR3PYML67L">#REF!</definedName>
    <definedName name="BExU6WXXC7SSQDMHSLUN5C2V4IYX">#REF!</definedName>
    <definedName localSheetId="1" name="BEx3EF99FD6QNNCNOKDEE67JHTUJ">#REF!</definedName>
    <definedName localSheetId="1" name="XRefPaste37">#REF!</definedName>
    <definedName localSheetId="1" name="BExF642TEGTXCI9A61ZOONJCB0U1">#REF!</definedName>
    <definedName localSheetId="1" name="BEx1F9HL824UCNCVZ2U62J4KZCX8">#REF!</definedName>
    <definedName localSheetId="1" name="BExB0KPCN7YJORQAYUCF4YKIKPMC">#REF!</definedName>
    <definedName name="BExCUDRJO23YOKT8GPWOVQ4XEHF5">#REF!</definedName>
    <definedName localSheetId="1" name="BExQ5SPMSOCJYLAY20NB5A6O32RE">#REF!</definedName>
    <definedName name="BExUB8HLEXSBVPZ5AXNQEK96F1N4">#REF!</definedName>
    <definedName localSheetId="1" name="BExXTOCF78J7WY6FOVBRY1N2RBBR">#REF!</definedName>
    <definedName name="BEx3GN4LY0135CBDIN1TU2UEODGF">#REF!</definedName>
    <definedName localSheetId="1" name="BExGWABG5VT5XO1A196RK61AXA8C">#REF!</definedName>
    <definedName localSheetId="1" name="BEx5I8USVUB3JP4S9OXGMZVMOQXR">#REF!</definedName>
    <definedName name="BExMCUS7GSOM96J0HJ7EH0FFM2AC">#REF!</definedName>
    <definedName name="BExGTKGUN0KUU3C0RL2LK98D8MEK">#REF!</definedName>
    <definedName localSheetId="1" name="BExAZFCI302YFYRDJYQDWQQL0Q0O">#REF!</definedName>
    <definedName name="XRefPaste23Row">#REF!</definedName>
    <definedName localSheetId="1" name="BExY1NWOXXFV9GGZ3PX444LZ8TVX">#REF!</definedName>
    <definedName name="BExXNPM24UN2PGVL9D1TUBFRIKR4">#REF!</definedName>
    <definedName name="BExXRBOFETC0OTJ6WY3VPMFH03VB">#REF!</definedName>
    <definedName name="BExY1UCL0RND63LLSM9X5SFRG117">#REF!</definedName>
    <definedName name="BExZVBQ29OM0V8XAL3HL0JIM0MMU">#REF!</definedName>
    <definedName localSheetId="1" name="_60__123Graph_XCHART_9">#REF!</definedName>
    <definedName name="BExB2Q0VJ0MU2URO3JOVUAVHEI3V">#REF!</definedName>
    <definedName name="BExB78RH79J0MIF7H8CAZ0CFE88Q">#REF!</definedName>
    <definedName name="BExZTHSI2FX56PWRSNX9H5EWTZFO">#REF!</definedName>
    <definedName name="XRefPaste106">#REF!</definedName>
    <definedName localSheetId="1" name="BExEXBQWAYKMVBRJRHB8PFCSYFVN">#REF!</definedName>
    <definedName name="BEx7DMUYR2HC26WW7AOB1TULERMB">#REF!</definedName>
    <definedName localSheetId="1" name="BExTWJTIA3WUW1PUWXAOP9O8NKLZ">#REF!</definedName>
    <definedName name="BExCTZZ9JNES4EDHW97NP0EGQALX">#REF!</definedName>
    <definedName name="XRefCopy18">#REF!</definedName>
    <definedName localSheetId="1" name="BEx1FZV2CM77TBH1R6YYV9P06KA2">#REF!</definedName>
    <definedName localSheetId="1" name="BEx5C8GZQK13G60ZM70P63I5OS0L">#REF!</definedName>
    <definedName localSheetId="1" name="BExIV6HUZFRIFLXW2SICKGTAH1PV">#REF!</definedName>
    <definedName localSheetId="1" name="BExEUNE4T242Y59C6MS28MXEUGCP">#REF!</definedName>
    <definedName localSheetId="1" name="BExQA9HZIN9XEMHEEVHT99UU9Z82">#REF!</definedName>
    <definedName name="BExGS69P9FFTEOPDS0MWFKF45G47">#REF!</definedName>
    <definedName localSheetId="1" name="_42__123Graph_XCHART_10">#REF!</definedName>
    <definedName name="BEx1V67SEV778NVW68J8W5SND1J7">#REF!</definedName>
    <definedName localSheetId="1" name="BExKRY3KZ7F7RB2KH8HXSQ85IEQO">#REF!</definedName>
    <definedName name="BExEVNCUT0PDUYNJH7G6BSEWZOT2">#REF!</definedName>
    <definedName name="BExF76FV8SF7AJK7B35AL7VTZF6D">#REF!</definedName>
    <definedName localSheetId="1" name="BExSC54998WTZ21DSL0R8UN0Y9JH">#REF!</definedName>
    <definedName name="BExB10QNIVITUYS55OAEKK3VLJFE">#REF!</definedName>
    <definedName localSheetId="1" name="BEx1S0XGIPUSZQUCSGWSK10GKW7Y">#REF!</definedName>
    <definedName name="BExGWNCXLCRTLBVMTXYJ5PHQI6SS">#REF!</definedName>
    <definedName localSheetId="1" name="BExCTYS2KX0QANOLT8LGZ9WV3S3T">#REF!</definedName>
    <definedName localSheetId="1" name="BEx92HWA2D6A5EX9MFG68G0NOMSN">#REF!</definedName>
    <definedName name="BExB9DHI5I2TJ2LXYPM98EE81L27">#REF!</definedName>
    <definedName name="BExZZZEMIIFKMLLV4DJKX5TB9R5V">#REF!</definedName>
    <definedName name="BExQ8O3WEU8HNTTGKTW5T0QSKCLP">#REF!</definedName>
    <definedName name="XREF_COLUMN_10">#REF!</definedName>
    <definedName localSheetId="1" name="XRefCopy79Row">#REF!</definedName>
    <definedName localSheetId="1" name="BExSHQD8KYLTQGDXIRKCHQQ7MKIH">#REF!</definedName>
    <definedName name="BExKEK6O5BVJP4VY02FY7JNAZ6BT">#REF!</definedName>
    <definedName name="BExIQ9TMQT2EIXSVQW7GVSOAW2VJ">#REF!</definedName>
    <definedName name="XRefPaste103">#REF!</definedName>
    <definedName localSheetId="1" name="BExZQXBYEBN28QUH1KOVW6KKA5UM">#REF!</definedName>
    <definedName localSheetId="1" name="BExQF1OEB07CRAP6ALNNMJNJ3P2D">#REF!</definedName>
    <definedName name="Swvu.AFAC.">#REF!</definedName>
    <definedName name="XRefPaste24">#REF!</definedName>
    <definedName name="BEx3PDT8GNPWLLN02IH1XPV90XYK">#REF!</definedName>
    <definedName name="BExD8OCLZMFN5K3VZYI4Q4ITVKUA">#REF!</definedName>
    <definedName name="BEx99Q6PH5F3OQKCCAAO75PYDEFN">#REF!</definedName>
    <definedName name="BExIIXMY38TQD12CVV4S57L3I809">#REF!</definedName>
    <definedName name="BExXP85M4WXYVN1UVHUTOEKEG5XS">#REF!</definedName>
    <definedName localSheetId="1" name="BEx3SPE6N1ORXPRCDL3JPZD73Z9F">#REF!</definedName>
    <definedName name="BExIT1MK8TBAK3SNP36A8FKDQSOK">#REF!</definedName>
    <definedName localSheetId="1" name="BExB6C3FUAKK9ML5T767NMWGA9YB">#REF!</definedName>
    <definedName localSheetId="1" name="BExVV7R410VYLADLX9LNG63ID6H1">#REF!</definedName>
    <definedName localSheetId="1" name="BExEW8HFKH6F47KIHYBDRUEFZ2ZZ">#REF!</definedName>
    <definedName localSheetId="1" name="BExXND6872VJ3M2PGT056WQMWBHD">#REF!</definedName>
    <definedName localSheetId="1" name="BEx1LD63FP2Z4BR9TKSHOZW9KKZ5">#REF!</definedName>
    <definedName name="XRefPaste112">#REF!</definedName>
    <definedName name="BExOKTXMJP351VXKH8VT6SXUNIMF">#REF!</definedName>
    <definedName name="BExB012NJ8GASTNNPBRRFTLHIOC9">#REF!</definedName>
    <definedName localSheetId="1" name="BEx1WMD1LWPWRIK6GGAJRJAHJM8I">#REF!</definedName>
    <definedName localSheetId="1" name="BExZKV5GYXO0X760SBD9TWTIQHGI">#REF!</definedName>
    <definedName name="BExIJFGZJ5ED9D6KAY4PGQYLELAX">#REF!</definedName>
    <definedName localSheetId="1" name="BExGUZKF06F209XL1IZWVJEQ82EE">#REF!</definedName>
    <definedName name="BExGXDVP2S2Y8Z8Q43I78RCIK3DD">#REF!</definedName>
    <definedName name="_53__123Graph_LBL_ACHART_3">#REF!</definedName>
    <definedName name="BExKILE008SF3KTAN8WML3XKI1NZ">#REF!</definedName>
    <definedName name="XRefPaste120">#REF!</definedName>
    <definedName name="XRefPaste13">#REF!</definedName>
    <definedName name="BExXRD13K1S9Y3JGR7CXSONT7RJZ">#REF!</definedName>
    <definedName name="BExCTW8G3VCZ55S09HTUGXKB1P2M">#REF!</definedName>
    <definedName localSheetId="1" name="XRefPaste56">#REF!</definedName>
    <definedName localSheetId="1" name="BExKEKXK6E6QX339ELPXDIRZSJE0">#REF!</definedName>
    <definedName name="BExAX410NB4F2XOB84OR2197H8M5">#REF!</definedName>
    <definedName name="BExY0OE8GFHMLLTEAFIOQTOPEVPB">#REF!</definedName>
    <definedName localSheetId="1" name="XRefCopy33">#REF!</definedName>
    <definedName name="BEx5NIKBG2GDJOYGE3WCXKU7YY51">#REF!</definedName>
    <definedName localSheetId="1" name="BEx97YNGGDFIXHTMGFL2IHAQX9MI">#REF!</definedName>
    <definedName name="BEx1NQVS5U8X1COG4U87LKV617ZG">#REF!</definedName>
    <definedName name="BExTXJ6HBAIXMMWKZTJNFDYVZCAY">#REF!</definedName>
    <definedName localSheetId="1" name="BExXSJ4XCDPBK74B8K7HT2PV4DID">#REF!</definedName>
    <definedName name="BExU4NA00RRRBGRT6TOB0MXZRCRZ">#REF!</definedName>
    <definedName localSheetId="1" name="BExIKXVA6M8K0PTRYAGXS666L335">#REF!</definedName>
    <definedName name="BExQ4T74LQ5PYTV1MUQUW75A4BDY">#REF!</definedName>
    <definedName name="BExZP7AIJKLM6C6CSUIIFAHFBNX2">#REF!</definedName>
    <definedName name="XRefPaste37">#REF!</definedName>
    <definedName name="BEx7MJZO3UKAMJ53UWOJ5ZD4GGMQ">#REF!</definedName>
    <definedName localSheetId="1" name="BEx5GNBCU4WZ74I0UXFL9ZG2XSGJ">#REF!</definedName>
    <definedName name="BExVUL9V3H8ZF6Y72LQBBN639YAA">#REF!</definedName>
    <definedName name="BEx9CDHME5S7TYWMJ9TVU51PT928">#REF!</definedName>
    <definedName localSheetId="1" name="BExRYZLA9EW71H4SXQR525S72LLP">#REF!</definedName>
    <definedName name="BExS8WDX408F60MH1X9B9UZ2H4R7">#REF!</definedName>
    <definedName name="_24__123Graph_BCHART_1">#REF!</definedName>
    <definedName localSheetId="1" name="XRefCopy65">#REF!</definedName>
    <definedName name="BExQJBF7LAX128WR7VTMJC88ZLPG">#REF!</definedName>
    <definedName name="BExGPPENQIANVGLVQJ77DK5JPRTB">#REF!</definedName>
    <definedName localSheetId="1" name="BExS8HJRBVG0XI6PWA9KTMJZMQXK">#REF!</definedName>
    <definedName localSheetId="1" name="BExVTCMDDEDGLUIMUU6BSFHEWTOP">#REF!</definedName>
    <definedName name="BExSCE99EZTILTTCE4NJJF96OYYM">#REF!</definedName>
    <definedName name="BExOFEDNCYI2TPTMQ8SJN3AW4YMF">#REF!</definedName>
    <definedName name="BExIV6HUZFRIFLXW2SICKGTAH1PV">#REF!</definedName>
    <definedName localSheetId="1" name="BExVT7TRK3NZHPME2TFBXOF1WBR9">#REF!</definedName>
    <definedName localSheetId="1" name="BExZZCHAVHW8C2H649KRGVQ0WVRT">#REF!</definedName>
    <definedName localSheetId="1" name="BExGPPENQIANVGLVQJ77DK5JPRTB">#REF!</definedName>
    <definedName name="BExIORA3GK78T7C7SNBJJUONJ0LS">#REF!</definedName>
    <definedName localSheetId="1" name="BExKW0CSH7DA02YSNV64PSEIXB2P">#REF!</definedName>
    <definedName name="XRefCopy21Row">#REF!</definedName>
    <definedName name="BEx7AIX8KO8J5OCP6PR1PE0JGR8A">#REF!</definedName>
    <definedName name="BExCVHBNLOHNFS0JAV3I1XGPNH9W">#REF!</definedName>
    <definedName name="BExQG8TYRD2G42UA5ZPCRLNKUDMX">#REF!</definedName>
    <definedName localSheetId="1" name="BEx3RQ10QIWBAPHALAA91BUUCM2X">#REF!</definedName>
    <definedName name="BExCY6VMJ68MX3C981R5Q0BX5791">#REF!</definedName>
    <definedName name="BExDC7F818VN0S18ID7XRCRVYPJ4">#REF!</definedName>
    <definedName name="XRefPaste126">#REF!</definedName>
    <definedName name="BExMIBOOZU40JS3F89OMPSRCE9MM">#REF!</definedName>
    <definedName localSheetId="1" name="BExZIA3C8LKJTEH3MKQ57KJH5TA2">#REF!</definedName>
    <definedName localSheetId="1" name="XRefCopy31Row">#REF!</definedName>
    <definedName name="BExS98OB4321YCHLCQ022PXKTT2W">#REF!</definedName>
    <definedName localSheetId="1" name="XRefCopy21Row">#REF!</definedName>
    <definedName name="BExMKZ535P011X4TNV16GCOH4H21">#REF!</definedName>
    <definedName name="BExGPID72Y4Y619LWASUQZKZHJNC">#REF!</definedName>
    <definedName name="BEx5FVQPPEU32CPNV9RRQ9MNLLVE">#REF!</definedName>
    <definedName localSheetId="1" name="BExILAAXRTRAD18K74M6MGUEEPUM">#REF!</definedName>
    <definedName localSheetId="1" name="BExW5WPU27WD4NWZOT0ZEJIDLX5J">#REF!</definedName>
    <definedName localSheetId="1" name="BEx3UJMIX2NUSSWGMSI25A5DM4CH">#REF!</definedName>
    <definedName name="BExQK1HV6SQQ7CP8H8IUKI9TYXTD">#REF!</definedName>
    <definedName name="XRefPaste26">#REF!</definedName>
    <definedName name="BExVVPFO2J7FMSRPD36909HN4BZJ">#REF!</definedName>
    <definedName localSheetId="1" name="BExGUM8D91UNPCOO4TKP9FGX85TF">#REF!</definedName>
    <definedName localSheetId="1" name="BEx7MJZO3UKAMJ53UWOJ5ZD4GGMQ">#REF!</definedName>
    <definedName name="BExY53J7EXFEOFTRNAHLK7IH3ACB">#REF!</definedName>
    <definedName localSheetId="1" name="BExS3SDERJ27OER67TIGOVZU13A2">#REF!</definedName>
    <definedName localSheetId="1" name="BEx3PKJZ1Z7L9S6KV8KXVS6B2FX4">#REF!</definedName>
    <definedName name="BExXQXG18PS8HGBOS03OSTQ0KEYC">#REF!</definedName>
    <definedName localSheetId="1" name="BExQH6ZZY0NR8SE48PSI9D0CU1TC">#REF!</definedName>
    <definedName name="BExJ0MY8SY5J5V50H3UKE78ODTVB">#REF!</definedName>
    <definedName name="BEx5K51DSERT1TR7B4A29R41W4NX">#REF!</definedName>
    <definedName localSheetId="1" name="BEx3Q8J42S9VU6EAN2Y28MR6DF88">#REF!</definedName>
    <definedName name="BExB610DZWIJP1B72U9QM42COH2B">#REF!</definedName>
    <definedName name="BEx7HQ5T9FZ42QWS09UO4DT42Y0R">#REF!</definedName>
    <definedName name="BEx5FO8YRFSZCG3L608EHIHIHFY4">#REF!</definedName>
    <definedName localSheetId="1" name="BEx5A7CIGCOTHJKHGUBDZG91JGPZ">#REF!</definedName>
    <definedName localSheetId="1" name="BExZZZEMIIFKMLLV4DJKX5TB9R5V">#REF!</definedName>
    <definedName localSheetId="1" name="XRefPaste39Row">#REF!</definedName>
    <definedName localSheetId="1" name="XRefPaste16">#REF!</definedName>
    <definedName name="BExGZOLH2QV73J3M9IWDDPA62TP4">#REF!</definedName>
    <definedName localSheetId="1" name="BExU1GXUTLRPJN4MRINLAPHSZQFG">#REF!</definedName>
    <definedName name="XRefPaste136Row">#REF!</definedName>
    <definedName localSheetId="1" name="BExS3LBS0SMTHALVM4NRI1BAV1NP">#REF!</definedName>
    <definedName name="BExGMZ3SRIXLXMWBVOXXV3M4U4YL">#REF!</definedName>
    <definedName localSheetId="1" name="BExU4NA00RRRBGRT6TOB0MXZRCRZ">#REF!</definedName>
    <definedName name="BExB072HHXVMUC0VYNGG48GRSH5Q">#REF!</definedName>
    <definedName name="BExW1TKA0Z9OP2DTG50GZR5EG8C7">#REF!</definedName>
    <definedName localSheetId="1" name="BExISM1JLV54A21A164IURMPGUMU">#REF!</definedName>
    <definedName name="XRefPaste18">#REF!</definedName>
    <definedName name="BEx9IQRF01ATLVK0YE60ARKQJ68L">#REF!</definedName>
    <definedName localSheetId="1" name="ACwvu.ESTOQUES.">#REF!</definedName>
    <definedName localSheetId="1" name="BExU2M5CK6XK55UIHDVYRXJJJRI4">#REF!</definedName>
    <definedName name="IQRMAG15">#REF!</definedName>
    <definedName name="XRefCopy73Row">#REF!</definedName>
    <definedName name="BExU7HH4EAHFQHT4AXKGWAWZP3I0">#REF!</definedName>
    <definedName name="BExQ8ZCEDBOBJA3D9LDP5TU2WYGR">#REF!</definedName>
    <definedName localSheetId="1" name="_57__123Graph_XCHART_11">#REF!</definedName>
    <definedName localSheetId="1" name="BExSGR5JQVX2HQ0PKCGZNSSUM1RV">#REF!</definedName>
    <definedName name="BExQA324HSCK40ENJUT9CS9EC71B">#REF!</definedName>
    <definedName localSheetId="1" name="Swvu.RES432.">#REF!</definedName>
    <definedName name="BExSAQBHIXGQRNIRGCJMBXUPCZQA">#REF!</definedName>
    <definedName name="XRefCopy74Row">#REF!</definedName>
    <definedName name="BExZY49QRZIR6CA41LFA9LM6EULU">#REF!</definedName>
    <definedName name="BExB5VWYMOV6BAIH7XUBBVPU7MMD">#REF!</definedName>
    <definedName name="BExMKUN3WPECJR2XRID2R7GZRGNX">#REF!</definedName>
    <definedName localSheetId="1" name="BEx5CPEKNSJORIPFQC2E1LTRYY8L">#REF!</definedName>
    <definedName name="BExCUPAXFR16YMWL30ME3F3BSRDZ">#REF!</definedName>
    <definedName name="BExQ7CB046NVPF9ZXDGA7OXOLSLX">#REF!</definedName>
    <definedName localSheetId="1" name="BExEQ2ENYLMY8K1796XBB31CJHNN">#REF!</definedName>
    <definedName name="BExS8GSUS17UY50TEM2AWF36BR9Z">#REF!</definedName>
    <definedName localSheetId="1" name="BExKSHQ9K79S8KYUWIV5M5LAHHF1">#REF!</definedName>
    <definedName localSheetId="1" name="BExH2XS2TND9SB0GC295R4FP6K5Y">#REF!</definedName>
    <definedName localSheetId="1" name="BEx1LRPGDQCOEMW8YT80J1XCDCIV">#REF!</definedName>
    <definedName name="BEx1OY6SVEUT2EQ26P7EKEND342G">#REF!</definedName>
    <definedName name="BExMPOBH04JMDO6Z8DMSEJZM4ANN">#REF!</definedName>
    <definedName localSheetId="1" name="BExIPB25DKX4S2ZCKQN7KWSC3JBF">#REF!</definedName>
    <definedName name="BEx5FLJWHLW3BTZILDPN5NMA449V">#REF!</definedName>
    <definedName name="XRefCopy63">#REF!</definedName>
    <definedName name="_55__123Graph_XCHART_1">#REF!</definedName>
    <definedName localSheetId="1" name="BExS92DKGRFFCIA9C0IXDOLO57EP">#REF!</definedName>
    <definedName localSheetId="1" name="BExXRIQ2JF2CVTRDQX2D9SPH7FTN">#REF!</definedName>
    <definedName localSheetId="1" name="BExXRO4A6VUH1F4XV8N1BRJ4896W">#REF!</definedName>
    <definedName localSheetId="1" name="BEx58XHO7ZULLF2EUD7YIS0MGQJ5">#REF!</definedName>
    <definedName localSheetId="1" name="BExXPZKYEMVF5JOC14HYOOYQK6JK">#REF!</definedName>
    <definedName name="BExF1US4ZIQYSU5LBFYNRA9N0K2O">#REF!</definedName>
    <definedName localSheetId="1" name="BEx942UCRHMI4B0US31HO95GSC2X">#REF!</definedName>
    <definedName localSheetId="1" name="BEx981HW73BUZWT14TBTZHC0ZTJ4">#REF!</definedName>
    <definedName localSheetId="1" name="BExH0O9G06YPZ5TN9RYT326I1CP2">#REF!</definedName>
    <definedName localSheetId="1" name="BEx1RBGC06B3T52OIC0EQ1KGVP1I">#REF!</definedName>
    <definedName name="BExY1DPTV4LSY9MEOUGXF8X052NA">#REF!</definedName>
    <definedName name="BExOCBSF3XGO9YJ23LX2H78VOUR7">#REF!</definedName>
    <definedName localSheetId="1" name="XRefPaste38Row">#REF!</definedName>
    <definedName name="BEx9BAJ5WYEQ623HUT9NNCMP3RUG">#REF!</definedName>
    <definedName name="BExKJINMXS61G2TZEXCJAWVV4F57">#REF!</definedName>
    <definedName localSheetId="1" name="XRefCopy68Row">#REF!</definedName>
    <definedName localSheetId="1" name="BExMBFTZV4Q1A5KG25C1N9PHQNSW">#REF!</definedName>
    <definedName localSheetId="1" name="BExSAY9CA9TFXQ9M9FBJRGJO9T9E">#REF!</definedName>
    <definedName localSheetId="1" name="BExQ2M841F5Z1BQYR8DG5FKK0LIU">#REF!</definedName>
    <definedName localSheetId="1" name="BEx9EMK6HAJJMVYZTN5AUIV7O1E6">#REF!</definedName>
    <definedName localSheetId="1" name="BExY5515WE39FQ3EG5QHG67V9C0O">#REF!</definedName>
    <definedName name="BEx3QSWT2S5KWG6U2V9711IYDQBM">#REF!</definedName>
    <definedName localSheetId="1" name="BExU4G31RRVLJ3AC6E1FNEFMXM3O">#REF!</definedName>
    <definedName name="BExF4PVMZYV36E8HOYY06J81AMBI">#REF!</definedName>
    <definedName localSheetId="1" name="BEx3ICF1GY8HQEBIU9S43PDJ90BX">#REF!</definedName>
    <definedName name="BExQ6WV9KPSMXPPLGZ3KK4WNYTHU">#REF!</definedName>
    <definedName name="BExOL0Z3Z7IAMHPB91EO2MF49U57">#REF!</definedName>
    <definedName localSheetId="1" name="BEx3NMQ4BVC94728AUM7CCX7UHTU">#REF!</definedName>
    <definedName localSheetId="1" name="BExB57MZEPL2SA2ONPK66YFLZWJU">#REF!</definedName>
    <definedName name="BExS81YPDZDVJJVS15HV2HDXAC3Y">#REF!</definedName>
    <definedName name="XREF_COLUMN_14">#REF!</definedName>
    <definedName name="XRefPaste45">#REF!</definedName>
    <definedName name="BExF42SSBVPMLK2UB3B7FPEIY9TU">#REF!</definedName>
    <definedName localSheetId="1" name="BExF4HXSWB50BKYPWA0HTT8W56H6">#REF!</definedName>
    <definedName localSheetId="1" name="BExMQSBR7PL4KLB1Q4961QO45Y4G">#REF!</definedName>
    <definedName localSheetId="1" name="XRefPaste126">#REF!</definedName>
    <definedName localSheetId="1" name="BEx00JC31DY11L45SEU4B10BIN6W">#REF!</definedName>
    <definedName name="BExS8BPG5A0GR5AO1U951NDGGR0L">#REF!</definedName>
    <definedName name="BExW0RI61B4VV0ARXTFVBAWRA1C5">#REF!</definedName>
    <definedName name="XRefPaste117Row">#REF!</definedName>
    <definedName localSheetId="1" name="BExKK8VP5RS3D0UXZVKA37C4SYBP">#REF!</definedName>
    <definedName localSheetId="1" name="BEx1WR0D41MR174LBF3P9E3K0J51">#REF!</definedName>
    <definedName name="XRefPaste28Row">#REF!</definedName>
    <definedName localSheetId="1" name="BEx77QDESURI6WW5582YXSK3A972">#REF!</definedName>
    <definedName name="BExKTQZGN8GI3XGSEXMPCCA3S19H">#REF!</definedName>
    <definedName localSheetId="1" name="BEx1U87938YR9N6HYI24KVBKLOS3">#REF!</definedName>
    <definedName name="BExBEC9ATLQZF86W1M3APSM4HEOH">#REF!</definedName>
    <definedName localSheetId="1" name="_48__123Graph_XCHART_9">#REF!</definedName>
    <definedName localSheetId="1" name="BExZTLOL8OPABZI453E0KVNA1GJS">#REF!</definedName>
    <definedName localSheetId="1" name="BExKPLQJX0HJ8OTXBXH9IC9J2V0W">#REF!</definedName>
    <definedName name="BEx3C2QR0WUD19QSVO8EMIPNQJKH">#REF!</definedName>
    <definedName localSheetId="1" name="BExGRUKVVKDL8483WI70VN2QZDGD">#REF!</definedName>
    <definedName localSheetId="1" name="BEx1JJJC9T1W7HY4V7HP1S1W4JO1">#REF!</definedName>
    <definedName localSheetId="1" name="BExKO2AHHSGNI1AZOIOW21KPXKPE">#REF!</definedName>
    <definedName name="BExGS2IWR5DUNJ1U9PAKIV8CMBNI">#REF!</definedName>
    <definedName name="BExCT4NSDT61OCH04Y2QIFIOP75H">#REF!</definedName>
    <definedName localSheetId="1" name="BExIUUT2MHIOV6R3WHA0DPM1KBKY">#REF!</definedName>
    <definedName localSheetId="1" name="BExINI6A7H3KSFRFA6UBBDPKW37F">#REF!</definedName>
    <definedName localSheetId="1" name="BEx7E5QP7W6UKO74F5Y0VJ741HS5">#REF!</definedName>
    <definedName name="BExZJOQR77H0P4SUKVYACDCFBBXO">#REF!</definedName>
    <definedName localSheetId="1" name="BExAY0EAT2LXR5MFGM0DLIB45PLO">#REF!</definedName>
    <definedName name="BExMIL4I2GE866I25CR5JBLJWJ6A">#REF!</definedName>
    <definedName localSheetId="1" name="BExQDXDACOG57N3GO9O70MFLP0QK">#REF!</definedName>
    <definedName localSheetId="1" name="BExUEFKOQWXXGRNLAOJV2BJ66UB8">#REF!</definedName>
    <definedName name="BExOBEZ0IE2WBEYY3D3CMRI72N1K">#REF!</definedName>
    <definedName name="BExQ3O4W7QF8BOXTUT4IOGF6YKUD">#REF!</definedName>
    <definedName name="BEx9FF16LOQP5QIR4UHW5EIFGQB8">#REF!</definedName>
    <definedName name="BEx5C2BWFW6SHZBFDEISKGXHZCQW">#REF!</definedName>
    <definedName localSheetId="1" name="XREF_COLUMN_14">#REF!</definedName>
    <definedName localSheetId="1" name="BEx9915UVD4G7RA3IMLFZ0LG3UA2">#REF!</definedName>
    <definedName name="BExMNRDZULKJMVY2VKIIRM2M5A1M">#REF!</definedName>
    <definedName name="BEx7KWHTBD21COXVI4HNEQH0Z3L8">#REF!</definedName>
    <definedName localSheetId="1" name="BExZRQ930U6OCYNV00CH5I0Q4LPE">#REF!</definedName>
    <definedName localSheetId="1" name="BExES44RHHDL3V7FLV6M20834WF1">#REF!</definedName>
    <definedName localSheetId="1" name="BExOD4ERMDMFD8X1016N4EXOUR0S">#REF!</definedName>
    <definedName name="BExOLYZNG5RBD0BTS1OEZJNU92Q5">#REF!</definedName>
    <definedName localSheetId="1" name="BExOL0Z3Z7IAMHPB91EO2MF49U57">#REF!</definedName>
    <definedName localSheetId="1" name="XRefCopy13">#REF!</definedName>
    <definedName name="XRefPaste134Row">#REF!</definedName>
    <definedName name="XRefPaste65">#REF!</definedName>
    <definedName name="BExF7EOIMC1OYL1N7835KGOI0FIZ">#REF!</definedName>
    <definedName name="BEx1S5VFNKIXHTTCWSV60UC50EZ8">#REF!</definedName>
    <definedName localSheetId="1" name="BEx9E2BZ2B1R41FMGJCJ7JLGLUAJ">#REF!</definedName>
    <definedName localSheetId="1" name="_14__123Graph_ACHART_3">#REF!</definedName>
    <definedName name="BEx3VML7CG70HPISMVYIUEN3711Q">#REF!</definedName>
    <definedName name="XRefPaste139">#REF!</definedName>
    <definedName localSheetId="1" name="BExTU75IOII1V5O0C9X2VAYYVJUG">#REF!</definedName>
    <definedName localSheetId="1" name="BExILGQTQM0HOD0BJI90YO7GOIN3">#REF!</definedName>
    <definedName localSheetId="1" name="BEx3SICJ45BYT6FHBER86PJT25FC">#REF!</definedName>
    <definedName localSheetId="1" name="BExGYCNATXZY2FID93B17YWIPPRD">#REF!</definedName>
    <definedName name="BExEZ1S6VZCG01ZPLBSS9Z1SBOJ2">#REF!</definedName>
    <definedName name="BExGN4I0QATXNZCLZJM1KH1OIJQH">#REF!</definedName>
    <definedName localSheetId="1" name="BExB1GMD0PIDGTFBGQOPRWQSP9I4">#REF!</definedName>
    <definedName name="BEx3ICF1GY8HQEBIU9S43PDJ90BX">#REF!</definedName>
    <definedName localSheetId="1" name="BEx92HR14HQ9D5JXCSPA4SS4RT62">#REF!</definedName>
    <definedName name="BEx5B5YMSWP0OVI5CIQRP5V18D0C">#REF!</definedName>
    <definedName localSheetId="1" name="XRefPaste12Row">#REF!</definedName>
    <definedName name="fjjashfja">#REF!</definedName>
    <definedName name="BExTXWIP2TFPTQ76NHFOB72NICRZ">#REF!</definedName>
    <definedName localSheetId="1" name="BExY0C3UBVC4M59JIRXVQ8OWAJC1">#REF!</definedName>
    <definedName localSheetId="1" name="BExGT0DZJB6LSF6L693UUB9EY1VQ">#REF!</definedName>
    <definedName localSheetId="1" name="BExGZOLH2QV73J3M9IWDDPA62TP4">#REF!</definedName>
    <definedName localSheetId="1" name="BExQCKTD8AT0824LGWREXM1B5D1X">#REF!</definedName>
    <definedName name="BExTWW95OX07FNA01WF5MSSSFQLX">#REF!</definedName>
    <definedName localSheetId="1" name="BExOMP7NGCLUNFK50QD2LPKRG078">#REF!</definedName>
    <definedName name="BEx3UYM19VIXLA0EU7LB9NHA77PB">#REF!</definedName>
    <definedName localSheetId="1" name="BExRZ8FMQQL46I8AQWU17LRNZD5T">#REF!</definedName>
    <definedName localSheetId="1" name="BExTVELZCF2YA5L6F23BYZZR6WHF">#REF!</definedName>
    <definedName localSheetId="1" name="BEx5J0FFP1KS4NGY20AEJI8VREEA">#REF!</definedName>
    <definedName localSheetId="1" name="BExU9F05OR1GZ3057R6UL3WPEIYI">#REF!</definedName>
    <definedName name="BExD6H2TE0WWAUIWVSSCLPZ6B88N">#REF!</definedName>
    <definedName name="XRefCopy26">#REF!</definedName>
    <definedName name="BExB15ZDRY4CIJ911DONP0KCY9KU">#REF!</definedName>
    <definedName name="BExSGVHX69GJZHD99DKE4RZ042B1">#REF!</definedName>
    <definedName name="BExY0T1E034D7XAXNC6F7540LLIE">#REF!</definedName>
    <definedName localSheetId="1" name="BExKLEZK32L28GYJWVO63BZ5E1JD">#REF!</definedName>
    <definedName name="BExGSYW1GKISF0PMUAK3XJK9PEW9">#REF!</definedName>
    <definedName localSheetId="1" name="BEx92DPEKL5WM5A3CN8674JI0PR3">#REF!</definedName>
    <definedName localSheetId="1" name="XRefPaste119Row">#REF!</definedName>
    <definedName localSheetId="1" name="XRefPaste103Row">#REF!</definedName>
    <definedName name="BExD93C1R6LC0631ECHVFYH0R0PD">#REF!</definedName>
    <definedName localSheetId="1" name="XRefPaste118Row">#REF!</definedName>
    <definedName localSheetId="1" name="XRefPaste135Row">#REF!</definedName>
    <definedName name="XRefCopy115">#REF!</definedName>
    <definedName localSheetId="1" name="BExMJNC8ZFB9DRFOJ961ZAJ8U3A8">#REF!</definedName>
    <definedName localSheetId="1" name="BEx7L8HEYEVTATR0OG5JJO647KNI">#REF!</definedName>
    <definedName name="BExOEV1S6JJVO5PP4BZ20SNGZR7D">#REF!</definedName>
    <definedName localSheetId="1" name="BExIHPQCQTGEW8QOJVIQ4VX0P6DX">#REF!</definedName>
    <definedName name="BExMCYTT6TVDWMJXO1NZANRTVNAN">#REF!</definedName>
    <definedName name="BExIPG040Q08EWIWL6CAVR3GRI43">#REF!</definedName>
    <definedName localSheetId="1" name="BExGS2IWR5DUNJ1U9PAKIV8CMBNI">#REF!</definedName>
    <definedName name="BExUCFCDK6SPH86I6STXX8X3WMC4">#REF!</definedName>
    <definedName localSheetId="1" name="BExUEYR71COFS2X8PDNU21IPMQEU">#REF!</definedName>
    <definedName localSheetId="1" name="BExS4P6S41O6Z6BED77U3GD9PNH1">#REF!</definedName>
    <definedName name="BEx91ROALDNHO7FI4X8L61RH4UJE">#REF!</definedName>
    <definedName localSheetId="1" name="BExIMPEGKG18TELVC33T4OQTNBWC">#REF!</definedName>
    <definedName localSheetId="1" name="XRefPaste105Row">#REF!</definedName>
    <definedName name="BExS226HTWL5WVC76MP5A1IBI8WD">#REF!</definedName>
    <definedName localSheetId="1" name="XRefCopy144">#REF!</definedName>
    <definedName localSheetId="1" name="BExS8BPG5A0GR5AO1U951NDGGR0L">#REF!</definedName>
    <definedName name="BEx7AE4LPLX8N85BYB0WCO5S7ZPV">#REF!</definedName>
    <definedName localSheetId="1" name="BExQIVJB9MJ25NDUHTCVMSODJY2C">#REF!</definedName>
    <definedName name="BEx004791UAJIJSN57OT7YBLNP82">#REF!</definedName>
    <definedName name="BExU9LG29XU2K1GNKRO4438JYQZE">#REF!</definedName>
    <definedName name="BExMPMTICOSMQENOFKQ18K0ZT4S8">#REF!</definedName>
    <definedName localSheetId="1" name="BExU8UX9JX3XLB47YZ8GFXE0V7R2">#REF!</definedName>
    <definedName name="BExZV2QD5ZDK3AGDRULLA7JB46C3">#REF!</definedName>
    <definedName name="BExD9TK2MIWFH5SKUYU9ZKF4NPHQ">#REF!</definedName>
    <definedName localSheetId="1" name="BExZWUF2V4HY3HI8JN9ZVPRWK1H3">#REF!</definedName>
    <definedName localSheetId="1" name="BEx1PMWZB2DO6EM9BKLUICZJ65HD">#REF!</definedName>
    <definedName localSheetId="1" name="BEx3BQR5VZXNQ4H949ORM8ESU3B3">#REF!</definedName>
    <definedName localSheetId="1" name="BExY4PWCSFB8P3J3TBQB2MD67263">#REF!</definedName>
    <definedName name="BEx7E5QP7W6UKO74F5Y0VJ741HS5">#REF!</definedName>
    <definedName localSheetId="1" name="BExH1FOMEUIJNIDJAUY0ZQFBJSY9">#REF!</definedName>
    <definedName name="BExTUY9WNSJ91GV8CP0SKJTEIV82">#REF!</definedName>
    <definedName localSheetId="1" name="BEx79SJRHTLS9PYM69O9BWW1FMJK">#REF!</definedName>
    <definedName localSheetId="1" name="BExOOTN0KTXJCL7E476XBN1CJ553">#REF!</definedName>
    <definedName name="BExBA8I5D4R8R2PYQ1K16TWGTOEP">#REF!</definedName>
    <definedName name="BEx00KZHZBHP3TDV1YMX4B19B95O">#REF!</definedName>
    <definedName localSheetId="1" name="BEx3Q0VWPU5EQECK7MQ47TYJ3SWW">#REF!</definedName>
    <definedName name="BEx5N4XI4PWB1W9PMZ4O5R0HWTYD">#REF!</definedName>
    <definedName localSheetId="1" name="BExIJQK80ZEKSTV62E59AYJYUNLI">#REF!</definedName>
    <definedName localSheetId="1" name="BExCT7YIEQ7VVT8BOFSGIDDYGTOK">#REF!</definedName>
    <definedName localSheetId="1" name="BEx7G82CKM3NIY1PHNFK28M09PCH">#REF!</definedName>
    <definedName name="BExD8H5O087KQVWIVPUUID5VMGMS">#REF!</definedName>
    <definedName name="BEx3PMNG53Z5HY138H99QOMTX8W3">#REF!</definedName>
    <definedName name="BEx3L4YQ0J7ZU0M5QM6YIPCEYC9K">#REF!</definedName>
    <definedName localSheetId="1" name="BExF6RR76KNVIXGJOVFO8GDILKGZ">#REF!</definedName>
    <definedName name="BExO8CDTBCABLEUD6PE2UM2EZ6C4">#REF!</definedName>
    <definedName name="BExOHNAO5UDXSO73BK2ARHWKS90Y">#REF!</definedName>
    <definedName localSheetId="1" name="BExZU2BHYAOKSCBM3C5014ZF6IXS">#REF!</definedName>
    <definedName localSheetId="1" name="XRefPaste24">#REF!</definedName>
    <definedName name="BEx5K08PYKE6JOKBYIB006TX619P">#REF!</definedName>
    <definedName localSheetId="1" name="BEx7KEYPBDXSNROH8M6CDCBN6B50">#REF!</definedName>
    <definedName localSheetId="1" name="BEx7EI6DL1Z6UWLFBXAKVGZTKHWJ">#REF!</definedName>
    <definedName localSheetId="1" name="BExIM9DBUB7ZGF4B20FVUO9QGOX2">#REF!</definedName>
    <definedName name="BEx7NI062THZAM6I8AJWTFJL91CS">#REF!</definedName>
    <definedName name="BExZIA3C8LKJTEH3MKQ57KJH5TA2">#REF!</definedName>
    <definedName name="BExIZAECOEZGBAO29QMV14E6XDIV">#REF!</definedName>
    <definedName name="BExQ7XL2Q1GVUFL1F9KK0K0EXMWG">#REF!</definedName>
    <definedName name="BExS82PRVNUTEKQZS56YT2DVF6C2">#REF!</definedName>
    <definedName localSheetId="1" name="BExVSTFTVV14SFGHQUOJL5SQ5TX9">#REF!</definedName>
    <definedName name="BExIQG9OO2KKBOWTMD1OXY36TEGA">#REF!</definedName>
    <definedName localSheetId="1" name="BEx3BW5CTV0DJU5AQS3ZQFK2VLF3">#REF!</definedName>
    <definedName name="BExS46R5WDNU5KL04FKY5LHJUCB8">#REF!</definedName>
    <definedName name="BExIHBHXA7E7VUTBVHXXXCH3A5CL">#REF!</definedName>
    <definedName name="XRefPaste39Row">#REF!</definedName>
    <definedName localSheetId="1" name="BExW1TKA0Z9OP2DTG50GZR5EG8C7">#REF!</definedName>
    <definedName localSheetId="1" name="BExD2CFHIRMBKN5KXE5QP4XXEWFS">#REF!</definedName>
    <definedName name="BExSB4JYKQ3MINI7RAYK5M8BLJDC">#REF!</definedName>
    <definedName localSheetId="1" name="XREF_COLUMN_34">#REF!</definedName>
    <definedName localSheetId="1" name="BEx3JC2TY7JNAAC3L7QHVPQXLGQ8">#REF!</definedName>
    <definedName localSheetId="1" name="BEx1WUB1FAS5PHU33TJ60SUHR618">#REF!</definedName>
    <definedName name="BEx1IGQ5B697MNDOE06MVSR0H58E">#REF!</definedName>
    <definedName localSheetId="1" name="_29__123Graph_BCHART_8">#REF!</definedName>
    <definedName name="BEx77VBI9XOPFHKEWU5EHQ9J675Y">#REF!</definedName>
    <definedName localSheetId="1" name="BEx93B9OULL2YGC896XXYAAJSTRK">#REF!</definedName>
    <definedName name="BExS59F0PA1V2ZC7S5TN6IT41SXP">#REF!</definedName>
    <definedName name="BEx5DJIZBTNS011R9IIG2OQ2L6ZX">#REF!</definedName>
    <definedName localSheetId="1" name="XRefPaste99">#REF!</definedName>
    <definedName localSheetId="1" name="BExZVM7OZWPPRH5YQW50EYMMIW1A">#REF!</definedName>
    <definedName name="BExIOMBXRW5NS4ZPYX9G5QREZ5J6">#REF!</definedName>
    <definedName localSheetId="1" name="BExCX2KGRZBRVLZNM8SUSIE6A0RL">#REF!</definedName>
    <definedName localSheetId="1" name="BEx5BDR56MEV4IHY6CIH2SVNG1UB">#REF!</definedName>
    <definedName localSheetId="1" name="BEx1QMQAHG3KQUK59DVM68SWKZIZ">#REF!</definedName>
    <definedName localSheetId="1" name="XRefCopy56">#REF!</definedName>
    <definedName localSheetId="1" name="XRefPaste102">#REF!</definedName>
    <definedName localSheetId="1" name="BExXQ89PA10X79WBWOEP1AJX1OQM">#REF!</definedName>
    <definedName name="BExSHAHFHS7MMNJR8JPVABRGBVIT">#REF!</definedName>
    <definedName name="XRefPaste33">#REF!</definedName>
    <definedName localSheetId="1" name="BExOH9ICZ13C1LAW8OTYTR9S7ZP3">#REF!</definedName>
    <definedName name="BExZQIHTGHK7OOI2Y2PN3JYBY82I">#REF!</definedName>
    <definedName localSheetId="1" name="BExU885EZZNSZV3GP298UJ8LB7OL">#REF!</definedName>
    <definedName localSheetId="1" name="BExZLKMK7LRK14S09WLMH7MXSQXM">#REF!</definedName>
    <definedName localSheetId="1" name="BExIQE65LVXUOF3UZFO7SDHFJH22">#REF!</definedName>
    <definedName localSheetId="1" name="BExGPHGT5KDOCMV2EFS4OVKTWBRD">#REF!</definedName>
    <definedName name="BEx7B6LH6917TXOSAAQ6U7HVF018">#REF!</definedName>
    <definedName name="BExY4MG771JQ84EMIVB6HQGGHZY7">#REF!</definedName>
    <definedName localSheetId="1" name="BEx1JUBQFRVMASSFK4B3V0AD7YP9">#REF!</definedName>
    <definedName name="BExEZGBFNJR8DLPN0V11AU22L6WY">#REF!</definedName>
    <definedName name="_20__123Graph_BCHART_1">#REF!</definedName>
    <definedName name="BExKSA37DZTCK6H13HPIKR0ZFVL8">#REF!</definedName>
    <definedName name="BEx7J4YL8Q3BI1MLH16YYQ18IJRD">#REF!</definedName>
    <definedName localSheetId="1" name="BExCUR94DHCE47PUUWEMT5QZOYR2">#REF!</definedName>
    <definedName name="Swvu.RES432.">#REF!</definedName>
    <definedName localSheetId="1" name="BEx79SEAYKUZB0H4LYBCD6WWJBG2">#REF!</definedName>
    <definedName name="XREF_COLUMN_29">#REF!</definedName>
    <definedName name="BEx587KFQ3VKCOCY1SA5F24PQGUI">#REF!</definedName>
    <definedName name="BExIXY5CF9PFM0P40AZ4U51TMWV0">#REF!</definedName>
    <definedName localSheetId="1" name="BExDAYBHU9ADLXI8VRC7F608RVGM">#REF!</definedName>
    <definedName name="XRefCopy15Row">#REF!</definedName>
    <definedName localSheetId="1" name="BExW937AT53OZQRHNWQZ5BVH24IE">#REF!</definedName>
    <definedName localSheetId="1" name="XRefCopy10Row">#REF!</definedName>
    <definedName localSheetId="1" name="BExGSCEUCQQVDEEKWJ677QTGUVTE">#REF!</definedName>
    <definedName localSheetId="1" name="BEx5NIKBG2GDJOYGE3WCXKU7YY51">#REF!</definedName>
    <definedName name="BExD3ESD9WYJIB3TRDPJ1CKXRAVL">#REF!</definedName>
    <definedName localSheetId="1" name="BExGW0KVS7U0C87XFZ78QW991IEV">#REF!</definedName>
    <definedName localSheetId="1" name="BExXU8VLZA7WLPZ3RAQZGNERUD26">#REF!</definedName>
    <definedName name="Swvu.ACC.">#REF!</definedName>
    <definedName localSheetId="1" name="BExUCX0Y0MSPCJGGN2EQS3WBD79A">#REF!</definedName>
    <definedName localSheetId="1" name="BExD6GMP0LK8WKVWMIT1NNH8CHLF">#REF!</definedName>
    <definedName name="BExQ56Z9W6YHZHRXOFFI8EFA7CDI">#REF!</definedName>
    <definedName localSheetId="1" name="BEx5HGDZ7MX1S3KNXLRL9WU565V4">#REF!</definedName>
    <definedName name="BEx5NDX6XYQDRNSB7FQYZ5WHVY83">#REF!</definedName>
    <definedName localSheetId="1" name="BEx9B8A5186FNTQQNLIO5LK02ABI">#REF!</definedName>
    <definedName localSheetId="1" name="XRefCopy134">#REF!</definedName>
    <definedName name="BExQBM1RUSIQ85LLMM2159BYDPIP">#REF!</definedName>
    <definedName name="BEx1FJZ7GKO99IYTP6GGGF7EUL3Z">#REF!</definedName>
    <definedName localSheetId="1" name="BExSGVHX69GJZHD99DKE4RZ042B1">#REF!</definedName>
    <definedName name="_Key2">#REF!</definedName>
    <definedName name="BExIS8USL1T3Z97CZ30HJ98E2GXQ">#REF!</definedName>
    <definedName localSheetId="1" name="BExU56WNCJ5H1CASPLT629IWA8B3">#REF!</definedName>
    <definedName name="BEx79SJRHTLS9PYM69O9BWW1FMJK">#REF!</definedName>
    <definedName localSheetId="1" name="XRefCopy75Row">#REF!</definedName>
    <definedName name="BExEQ2ENYLMY8K1796XBB31CJHNN">#REF!</definedName>
    <definedName name="BExMRRJNUMGRSDD5GGKKGEIZ6FTS">#REF!</definedName>
    <definedName name="BExOERG5LWXYYEN1DY1H2FWRJS9T">#REF!</definedName>
    <definedName name="BEx3BQR5VZXNQ4H949ORM8ESU3B3">#REF!</definedName>
    <definedName localSheetId="1" name="BExTWB4LA1PODQOH4LDTHQKBN16K">#REF!</definedName>
    <definedName localSheetId="1" name="BEx5E2UU5NES6W779W2OZTZOB4O7">#REF!</definedName>
    <definedName localSheetId="1" name="BExQHVF9KD06AG2RXUQJ9X4PVGX4">#REF!</definedName>
    <definedName localSheetId="1" name="BEx5MRQQG096ZWLD2XXGDXD7P84F">#REF!</definedName>
    <definedName name="BExB4DYU06HCGRIPBSWRCXK804UM">#REF!</definedName>
    <definedName localSheetId="1" name="BEx5AFFTN3IXIBHDKM0FYC4OFL1S">#REF!</definedName>
    <definedName name="BExCS8W4NJUZH9S1CYB6XSDLEPBW">#REF!</definedName>
    <definedName localSheetId="1" name="BEx5B825RW35M5H0UB2IZGGRS4ER">#REF!</definedName>
    <definedName name="BExD0U6KG10QGVDI1XSHK0J10A2V">#REF!</definedName>
    <definedName localSheetId="1" name="BEx7J4YL8Q3BI1MLH16YYQ18IJRD">#REF!</definedName>
    <definedName localSheetId="1" name="BEx5APRZ66L5BWHFE8E4YYNEDTI4">#REF!</definedName>
    <definedName localSheetId="1" name="BExZMZQ3RBKDHT5GLFNLS52OSJA0">#REF!</definedName>
    <definedName name="XRefPaste70Row">#REF!</definedName>
    <definedName localSheetId="1" name="BExB78RH79J0MIF7H8CAZ0CFE88Q">#REF!</definedName>
    <definedName localSheetId="1" name="BExIN4OR435DL1US13JQPOQK8GD5">#REF!</definedName>
    <definedName name="BExERWCEBKQRYWRQLYJ4UCMMKTHG">#REF!</definedName>
    <definedName localSheetId="1" name="BExOIWJVMJ6MG6JC4SPD1L00OHU1">#REF!</definedName>
    <definedName name="BExQ2M841F5Z1BQYR8DG5FKK0LIU">#REF!</definedName>
    <definedName localSheetId="1" name="BExZRW8W514W8OZ72YBONYJ64GXF">#REF!</definedName>
    <definedName localSheetId="1" name="BExW2MSCKPGF5K3I7TL4KF5ISUOL">#REF!</definedName>
    <definedName localSheetId="1" name="XRefPaste29">#REF!</definedName>
    <definedName name="BEx7EYYLHMBYQTH6I377FCQS7CSX">#REF!</definedName>
    <definedName name="BEx95NHF4RVUE0YDOAFZEIVBYJXD">#REF!</definedName>
    <definedName name="BEx9AV8W1FAWF5BHATYEN47X12JN">#REF!</definedName>
    <definedName name="XRefCopy138">#REF!</definedName>
    <definedName name="BExS1BNVGNSGD4EP90QL8WXYWZ66">#REF!</definedName>
    <definedName localSheetId="1" name="BExD6FKVK8WJWNYPVENR7Q8Q30PK">#REF!</definedName>
    <definedName name="BExU7Q0JS9YIUKUPNSSAIDK2KJAV">#REF!</definedName>
    <definedName name="BExQIVJB9MJ25NDUHTCVMSODJY2C">#REF!</definedName>
    <definedName name="BEx7D8H1TPOX1UN17QZYEV7Q58GA">#REF!</definedName>
    <definedName localSheetId="1" name="BExKDLF10G7W77J87QWH3ZGLUCLW">#REF!</definedName>
    <definedName name="BExKNZQUKQQG2Y97R74G4O4BJP1L">#REF!</definedName>
    <definedName localSheetId="1" name="BEx5HAOT9XWUF7XIFRZZS8B9F5TZ">#REF!</definedName>
    <definedName localSheetId="1" name="BExIXY5CF9PFM0P40AZ4U51TMWV0">#REF!</definedName>
    <definedName name="BExH225UTM6S9FW4MUDZS7F1PQSH">#REF!</definedName>
    <definedName localSheetId="1" name="BExVTNESHPVG0A0KZ7BRX26MS0PF">#REF!</definedName>
    <definedName name="BEx5O3ZUQ2OARA1CDOZ3NC4UE5AA">#REF!</definedName>
    <definedName name="_Table2_Out">#REF!</definedName>
    <definedName name="BExGY8G88PVVRYHPHRPJZFSX6HSC">#REF!</definedName>
    <definedName name="BExIVYTFI35KNR2XSA6N8OJYUTUR">#REF!</definedName>
    <definedName localSheetId="1" name="BExINLX401ZKEGWU168DS4JUM2J6">#REF!</definedName>
    <definedName localSheetId="1" name="BExCU0A1V6NMZQ9ASYJ8QIVQ5UR2">#REF!</definedName>
    <definedName localSheetId="1" name="BExW1F1220628FOMTW5UAATHRJHK">#REF!</definedName>
    <definedName name="BExOP9DEBV5W5P4Q25J3XCJBP5S9">#REF!</definedName>
    <definedName localSheetId="1" name="_36__123Graph_LBL_ACHART_3">#REF!</definedName>
    <definedName localSheetId="1" name="BExY0T1E034D7XAXNC6F7540LLIE">#REF!</definedName>
    <definedName localSheetId="1" name="BExB1TNRV5EBWZEHYLHI76T0FVA7">#REF!</definedName>
    <definedName name="BExKVCOENE32B7NRLY7CVN0R6SGL">#REF!</definedName>
    <definedName localSheetId="1" name="BEx5IBUPG9AWNW5PK7JGRGEJ4OLM">#REF!</definedName>
    <definedName localSheetId="1" name="BExS15IJV0WW662NXQUVT3FGP4ST">#REF!</definedName>
    <definedName localSheetId="1" name="BExS0K8IHC45I78DMZBOJ1P13KQA">#REF!</definedName>
    <definedName localSheetId="1" name="BEx9IZR39NHDGOM97H4E6F81RTQW">#REF!</definedName>
    <definedName name="BExII50LI8I0CDOOZEMIVHVA2V95">#REF!</definedName>
    <definedName localSheetId="1" name="BEx3KIXQYOGMPK4WJJAVBRX4NR28">#REF!</definedName>
    <definedName localSheetId="1" name="BExS4ASWKM93XA275AXHYP8AG6SU">#REF!</definedName>
    <definedName name="BExIJWK0NGTGQ4X7D5VIVXD14JHI">#REF!</definedName>
    <definedName localSheetId="1" name="BExKKX05KCZZZPKOR1NE5A8RGVT4">#REF!</definedName>
    <definedName name="BEx9CCQRMYYOGIOYTOM73VKDIPS1">#REF!</definedName>
    <definedName name="XREF_COLUMN_11">#REF!</definedName>
    <definedName name="_47__123Graph_EOP75_25RETURN">#REF!</definedName>
    <definedName localSheetId="1" name="BEx7AVYIGP0930MV5JEBWRYCJN68">#REF!</definedName>
    <definedName name="BExW36V9N91OHCUMGWJQL3I5P4JK">#REF!</definedName>
    <definedName name="BExS26OI2QNNAH2WMDD95Z400048">#REF!</definedName>
    <definedName name="BExGUQF9N9FKI7S0H30WUAEB5LPD">#REF!</definedName>
    <definedName localSheetId="1" name="BExCU2834920JBHSPCRC4UF80OLL">#REF!</definedName>
    <definedName localSheetId="1" name="BEx1S5VFNKIXHTTCWSV60UC50EZ8">#REF!</definedName>
    <definedName localSheetId="1" name="BExQC5TWT21CGBKD0IHAXTIN2QB8">#REF!</definedName>
    <definedName name="BEx9JLBYK239B3F841C7YG1GT7ST">#REF!</definedName>
    <definedName name="BExF4MVQM5Y0QRDLDFSKWWTF709C">#REF!</definedName>
    <definedName localSheetId="1" name="BEx9C590HJ2O31IWJB73C1HR74AI">#REF!</definedName>
    <definedName localSheetId="1" name="BExVXLX2BZ5EF2X6R41BTKRJR1NM">#REF!</definedName>
    <definedName name="BExQ2L0XYWLY9VPZWXYYFRIRQRJ1">#REF!</definedName>
    <definedName name="BExW4QR9FV9MP5K610THBSM51RYO">#REF!</definedName>
    <definedName localSheetId="1" name="BExGQ6SG9XEOD0VMBAR22YPZWSTA">#REF!</definedName>
    <definedName localSheetId="1" name="XRefPaste112Row">#REF!</definedName>
    <definedName name="BEx9H8YR0E906F1JXZMBX3LNT004">#REF!</definedName>
    <definedName localSheetId="1" name="BExS51H0N51UT0FZOPZRCF1GU063">#REF!</definedName>
    <definedName name="BEx3U94WCEA5DKMWBEX1GU0LKYG2">#REF!</definedName>
    <definedName localSheetId="1" name="BExXR8OKAVX7O70V5IYG2PRKXSTI">#REF!</definedName>
    <definedName name="BExO9SDRI1M6KMHXSG3AE5L0F2U3">#REF!</definedName>
    <definedName name="BEx7HRCZE3CVGON1HV07MT5MNDZ3">#REF!</definedName>
    <definedName localSheetId="1" name="XRefCopy26Row">#REF!</definedName>
    <definedName name="BExMDUWB7VWHFFR266QXO46BNV2S">#REF!</definedName>
    <definedName localSheetId="1" name="BExOG45J81K4OPA40KW5VQU54KY3">#REF!</definedName>
    <definedName name="BExTUVFGOJEYS28JURA5KHQFDU5J">#REF!</definedName>
    <definedName name="BEx3EQSLJBDDJRHNX19PBFCKNY2I">#REF!</definedName>
    <definedName localSheetId="1" name="BEx3KP2VRBMORK0QEAZUYCXL3DHJ">#REF!</definedName>
    <definedName localSheetId="1" name="BExQBM1RUSIQ85LLMM2159BYDPIP">#REF!</definedName>
    <definedName localSheetId="1" name="BExGQ36ZOMR9GV8T05M605MMOY3Y">#REF!</definedName>
    <definedName localSheetId="1" name="BExEQ2PFURT24NQYGYVE8NKX1EGA">#REF!</definedName>
    <definedName name="XRefCopy17">#REF!</definedName>
    <definedName name="BExDA6LD9061UULVKUUI4QP8SK13">#REF!</definedName>
    <definedName localSheetId="1" name="XRefCopy138">#REF!</definedName>
    <definedName localSheetId="1" name="BEx3FJ9MHSLDK8W91GO85FX1GX57">#REF!</definedName>
    <definedName name="BEx1PBZ4BEFIPGMQXT9T8S4PZ2IM">#REF!</definedName>
    <definedName localSheetId="1" name="BEx02Y3KJZH5BGDM9QEZ1PVVI114">#REF!</definedName>
    <definedName localSheetId="1" name="BEx7DGF13H2074LRWFZQ45PZ6JPX">#REF!</definedName>
    <definedName localSheetId="1" name="BExD5QUSRFJWRQ1ZM50WYLCF74DF">#REF!</definedName>
    <definedName localSheetId="1" name="BExGU2G9OPRZRIU9YGF6NX9FUW0J">#REF!</definedName>
    <definedName localSheetId="1" name="BEx78QMXZ2P1ZB3HJ9O50DWHCMXR">#REF!</definedName>
    <definedName localSheetId="1" name="BEx1QA54J2A4I7IBQR19BTY28ZMR">#REF!</definedName>
    <definedName name="BExOHTQPP8LQ98L6PYUI6QW08YID">#REF!</definedName>
    <definedName localSheetId="1" name="BExCX4NZ2N1OUGXM7EV0U7VULJMM">#REF!</definedName>
    <definedName name="XRefCopy121">#REF!</definedName>
    <definedName localSheetId="1" name="XRefPaste16Row">#REF!</definedName>
    <definedName localSheetId="1" name="BEx5CFYQ0F1Z6P8SCVJ0I3UPVFE4">#REF!</definedName>
    <definedName localSheetId="1" name="BExS6ITKSZFRR01YD5B0F676SYN7">#REF!</definedName>
    <definedName name="BExMM8ZRS5RQ8H1H55RVPVTDL5NL">#REF!</definedName>
    <definedName name="BEx93M7FSHP50OG34A4W8W8DF12U">#REF!</definedName>
    <definedName localSheetId="1" name="BExMI6QQ20XHD0NWJUN741B37182">#REF!</definedName>
    <definedName name="XRefPaste67Row">#REF!</definedName>
    <definedName localSheetId="1" name="BExSGOWJTAP41ZV5Q23H7MI9C76W">#REF!</definedName>
    <definedName localSheetId="1" name="BExGUIBXBRHGM97ZX6GBA4ZDQ79C">#REF!</definedName>
    <definedName localSheetId="1" name="BExS81TE0EY44Y3W2M4Z4MGNP5OM">#REF!</definedName>
    <definedName localSheetId="1" name="BEx7B6LH6917TXOSAAQ6U7HVF018">#REF!</definedName>
    <definedName localSheetId="1" name="BEx7FCLG1RYI2SNOU1Y2GQZNZSWA">#REF!</definedName>
    <definedName name="_31__123Graph_BOP75_25PRICE">#REF!</definedName>
    <definedName name="BExCSSDG3TM6TPKS19E9QYJEELZ6">#REF!</definedName>
    <definedName name="BEx5NA68N6FJFX9UJXK4M14U487F">#REF!</definedName>
    <definedName name="BExGNSS0CKRPKHO25R3TDBEL2NHX">#REF!</definedName>
    <definedName name="BExIV0I2O9F8D1UK1SI8AEYR6U0A">#REF!</definedName>
    <definedName name="BExMPMZ07II0R4KGWQQ7PGS3RZS4">#REF!</definedName>
    <definedName name="BExONB3A7CO4YD8RB41PHC93BQ9M">#REF!</definedName>
    <definedName name="BExQBEER6CRCRPSSL61S0OMH57ZA">#REF!</definedName>
    <definedName name="_29__123Graph_BCHART_8">#REF!</definedName>
    <definedName localSheetId="1" name="XRefPaste111Row">#REF!</definedName>
    <definedName name="BEx3I09YVXO0G4X7KGSA4WGORM35">#REF!</definedName>
    <definedName localSheetId="1" name="BExD3ESD9WYJIB3TRDPJ1CKXRAVL">#REF!</definedName>
    <definedName localSheetId="1" name="_49__123Graph_FO_MPRICE">#REF!</definedName>
    <definedName name="BEx008P2NVFDLBHL7IZ5WTMVOQ1F">#REF!</definedName>
    <definedName localSheetId="1" name="BExD4R1I0MKF033I5LPUYIMTZ6E8">#REF!</definedName>
    <definedName localSheetId="1" name="BExXU6XDTT7RM93KILIDEYPA9XKF">#REF!</definedName>
    <definedName localSheetId="1" name="BExQJBF7LAX128WR7VTMJC88ZLPG">#REF!</definedName>
    <definedName name="_18__123Graph_ACHART_9">#REF!</definedName>
    <definedName name="_Key1">#REF!</definedName>
    <definedName name="BExXMOLHIAHDLFSA31PUB36SC3I9">#REF!</definedName>
    <definedName localSheetId="1" name="BExIG2U8V6RSB47SXLCQG3Q68YRO">#REF!</definedName>
    <definedName name="BEx1WGYTKZZIPM1577W5FEYKFH3V">#REF!</definedName>
    <definedName localSheetId="1" name="XRefCopy64Row">#REF!</definedName>
    <definedName localSheetId="1" name="BEx3P59TTRSGQY888P5C1O7M2PQT">#REF!</definedName>
    <definedName localSheetId="1" name="BEx1FGDRUHHLI1GBHELT4PK0LY4V">#REF!</definedName>
    <definedName localSheetId="1" name="BEx3J1VZVGTKT4ATPO9O5JCSFTTR">#REF!</definedName>
    <definedName localSheetId="1" name="BExF31N3YM4F37EOOY8M8VI1KXN8">#REF!</definedName>
    <definedName localSheetId="1" name="BExOGXO9JE5XSE9GC3I6O21UEKAO">#REF!</definedName>
    <definedName localSheetId="1" name="BExO85HMYXZJ7SONWBKKIAXMCI3C">#REF!</definedName>
    <definedName name="BEx59P7MAPNU129ZTC5H3EH892G1">#REF!</definedName>
    <definedName localSheetId="1" name="BExZU2RMJTXOCS0ROPMYPE6WTD87">#REF!</definedName>
    <definedName localSheetId="1" name="BExVW5X571GEYR5SCU1Z2DHKWM79">#REF!</definedName>
    <definedName localSheetId="1" name="BEx5ELQL9B0VR6UT18KP11DHOTFX">#REF!</definedName>
    <definedName localSheetId="1" name="BExMNR38HMPLWAJRQ9MMS3ZAZ9IU">#REF!</definedName>
    <definedName localSheetId="1" name="BExIJWK0NGTGQ4X7D5VIVXD14JHI">#REF!</definedName>
    <definedName name="BExGL97US0Y3KXXASUTVR26XLT70">#REF!</definedName>
    <definedName name="BExVZJQVO5LQ0BJH5JEN5NOBIAF6">#REF!</definedName>
    <definedName localSheetId="1" name="BExZRWJP2BUVFJPO8U8ATQEP0LZU">#REF!</definedName>
    <definedName localSheetId="1" name="BExZJ7I9T8XU4MZRKJ1VVU76V2LZ">#REF!</definedName>
    <definedName name="BExBA6K42582A14WFFWQ3Q8QQWB6">#REF!</definedName>
    <definedName name="BExKLLKVVHT06LA55JB2FC871DC5">#REF!</definedName>
    <definedName localSheetId="1" name="BExGO70E2O70LF46V8T26YFPL4V8">#REF!</definedName>
    <definedName name="BExXLDE6PN4ESWT3LXJNQCY94NE4">#REF!</definedName>
    <definedName localSheetId="1" name="BEx5I9GDQSYIAL65UQNDMNFQCS9Y">#REF!</definedName>
    <definedName localSheetId="1" name="_40__123Graph_DHO_MPRICE">#REF!</definedName>
    <definedName localSheetId="1" name="XRefCopy53">#REF!</definedName>
    <definedName name="BEx5HFHMABAT0H9KKS754X4T304E">#REF!</definedName>
    <definedName name="BExKNV8UOHVWEHDJWI2WMJ9X6QHZ">#REF!</definedName>
    <definedName name="BExSBMOS41ZRLWYLOU29V6Y7YORR">#REF!</definedName>
    <definedName localSheetId="1" name="BExII50LI8I0CDOOZEMIVHVA2V95">#REF!</definedName>
    <definedName localSheetId="1" name="XRefCopy39">#REF!</definedName>
    <definedName localSheetId="1" name="BExKFISRBFACTAMJSALEYMY66F6X">#REF!</definedName>
    <definedName name="BExD1OAU9OXQAZA4D70HP72CU6GB">#REF!</definedName>
    <definedName name="BExQFEK8NUD04X2OBRA275ADPSDL">#REF!</definedName>
    <definedName name="BExQ6M2YXJ8AMRJF3QGHC40ADAHZ">#REF!</definedName>
    <definedName name="XRefPaste111">#REF!</definedName>
    <definedName localSheetId="1" name="BEx91QH5JRZKQP1GPN2SQMR3CKAG">#REF!</definedName>
    <definedName localSheetId="1" name="BExQDE1B6U2Q9B73KBENABP71YM1">#REF!</definedName>
    <definedName name="DFSGLMÇLKSDF">#REF!</definedName>
    <definedName name="BExKFINBFV5J2NFRCL4YUO3YF0ZE">#REF!</definedName>
    <definedName localSheetId="1" name="BEx9JJTZKVUJAVPTRE0RAVTEH41G">#REF!</definedName>
    <definedName localSheetId="1" name="XRefPaste68">#REF!</definedName>
    <definedName localSheetId="1" name="BExZIYO22G5UXOB42GDLYGVRJ6U7">#REF!</definedName>
    <definedName localSheetId="1" name="BEx3SMUCMJVGQ2H4EHQI5ZFHEF0P">#REF!</definedName>
    <definedName localSheetId="1" name="BExQFEK8NUD04X2OBRA275ADPSDL">#REF!</definedName>
    <definedName localSheetId="1" name="BEx3BYP0FG369M7G3JEFLMMXAKTS">#REF!</definedName>
    <definedName localSheetId="1" name="BExMIZT6AN7E6YMW2S87CTCN2UXH">#REF!</definedName>
    <definedName name="XRefCopy69">#REF!</definedName>
    <definedName localSheetId="1" name="BExD0RMWSB4TRECEHTH6NN4K9DFZ">#REF!</definedName>
    <definedName name="BEx3P59TTRSGQY888P5C1O7M2PQT">#REF!</definedName>
    <definedName name="BExD623C9LRX18BE0W2V6SZLQUXX">#REF!</definedName>
    <definedName name="BExMEY09ESM4H2YGKEQQRYUD114R">#REF!</definedName>
    <definedName name="BEx9HQ1RKG08K54UGKJBPEL4FBM8">#REF!</definedName>
    <definedName name="BExD5I5X2YA2YNCTCDSMEL4CWF4N">#REF!</definedName>
    <definedName localSheetId="1" name="BExKHAMUH8NR3HRV0V6FHJE3ROLN">#REF!</definedName>
    <definedName localSheetId="1" name="BExKGNK5YGKP0YHHTAAOV17Z9EIM">#REF!</definedName>
    <definedName localSheetId="1" name="BExGTKGUN0KUU3C0RL2LK98D8MEK">#REF!</definedName>
    <definedName localSheetId="1" name="XRefPaste8">#REF!</definedName>
    <definedName name="XRefCopy14Row">#REF!</definedName>
    <definedName localSheetId="1" name="BExIS4T0DRF57HYO7OGG72KBOFOI">#REF!</definedName>
    <definedName localSheetId="1" name="BExQ3D1P3M5Z3HLMEZ17E0BLEE4U">#REF!</definedName>
    <definedName name="BExXU4J2BM2964GD5UZHM752Q4NS">#REF!</definedName>
    <definedName name="XRefCopy53">#REF!</definedName>
    <definedName localSheetId="1" name="BExY2FS4LFX9OHOTQT7SJ2PXAC25">#REF!</definedName>
    <definedName name="BExH1Z0GIUSVTF2H1G1I3PDGBNK2">#REF!</definedName>
    <definedName localSheetId="1" name="BExKVG4KGO28KPGTAFL1R8TTZ10N">#REF!</definedName>
    <definedName name="BEx93OLWY2O3PRA74U41VG5RXT4Q">#REF!</definedName>
    <definedName name="XRefCopy43">#REF!</definedName>
    <definedName name="BExKJK5ME8KB7HA0180L7OUZDDGV">#REF!</definedName>
    <definedName localSheetId="1" name="XRefPaste102Row">#REF!</definedName>
    <definedName localSheetId="1" name="BExGXZ0ABB43C7SMRKZHWOSU9EQX">#REF!</definedName>
    <definedName localSheetId="1" name="BExZQZKT146WEN8FTVZ7Y5TSB8L5">#REF!</definedName>
    <definedName name="XRefCopy68">#REF!</definedName>
    <definedName localSheetId="1" name="BEx9GGY04V0ZWI6O9KZH4KSBB389">#REF!</definedName>
    <definedName name="BExZMZQ3RBKDHT5GLFNLS52OSJA0">#REF!</definedName>
    <definedName localSheetId="1" name="BExOQ256YMF115DJL3KBPNKABJ90">#REF!</definedName>
    <definedName name="BExU7BBTUF8BQ42DSGM94X5TG5GF">#REF!</definedName>
    <definedName name="_16__123Graph_ACHART_10">#REF!</definedName>
    <definedName name="Swvu.ESTOQUES.">#REF!</definedName>
    <definedName localSheetId="1" name="BExIVYTFI35KNR2XSA6N8OJYUTUR">#REF!</definedName>
    <definedName name="BExZQ7PJU07SEJMDX18U9YVDC2GU">#REF!</definedName>
    <definedName name="BExIPB25DKX4S2ZCKQN7KWSC3JBF">#REF!</definedName>
    <definedName name="BEx9E2BZ2B1R41FMGJCJ7JLGLUAJ">#REF!</definedName>
    <definedName name="XRefCopy52">#REF!</definedName>
    <definedName name="XRefPaste69Row">#REF!</definedName>
    <definedName localSheetId="1" name="BExTYKCEFJ83LZM95M1V7CSFQVEA">#REF!</definedName>
    <definedName localSheetId="1" name="BExZUF7G8FENTJKH9R1XUWXM6CWD">#REF!</definedName>
    <definedName name="BExW5WPU27WD4NWZOT0ZEJIDLX5J">#REF!</definedName>
    <definedName localSheetId="1" name="BEx7E2QT2U8THYOKBPXONB1B47WH">#REF!</definedName>
    <definedName localSheetId="1" name="BExMRRJNUMGRSDD5GGKKGEIZ6FTS">#REF!</definedName>
    <definedName name="XRefCopy65">#REF!</definedName>
    <definedName name="BEx1U7WFO8OZKB1EBF4H386JW91L">#REF!</definedName>
    <definedName localSheetId="1" name="BExIS8USL1T3Z97CZ30HJ98E2GXQ">#REF!</definedName>
    <definedName name="BExSCHUQZ2HFEWS54X67DIS8OSXZ">#REF!</definedName>
    <definedName name="BExVXLX2BZ5EF2X6R41BTKRJR1NM">#REF!</definedName>
    <definedName localSheetId="1" name="BExW1U0JLKQ094DW5MMOI8UHO09V">#REF!</definedName>
    <definedName localSheetId="1" name="XREF_COLUMN_24">#REF!</definedName>
    <definedName name="BEx7AVYIGP0930MV5JEBWRYCJN68">#REF!</definedName>
    <definedName localSheetId="1" name="BExF4KHF04IWW4LQ95FHQPFE4Y9K">#REF!</definedName>
    <definedName name="BExAYKXAUWGDOPG952TEJ2UKZKWN">#REF!</definedName>
    <definedName name="XRefCopy76Row">#REF!</definedName>
    <definedName name="BExOK0EQYM9JUMAGWOUN7QDH7VMZ">#REF!</definedName>
    <definedName name="BExF3JMFX5DILOIFUDIO1HZUK875">#REF!</definedName>
    <definedName localSheetId="1" name="BExGMJDGIH0MEPC2TUSFUCY2ROTB">#REF!</definedName>
    <definedName name="BExGS6F1JFHM5MUJ1RFO50WP6D05">#REF!</definedName>
    <definedName localSheetId="1" name="BEx5K08PYKE6JOKBYIB006TX619P">#REF!</definedName>
    <definedName localSheetId="1" name="BExCRLIHS7466WFJ3RPIUGGXYESZ">#REF!</definedName>
    <definedName name="BExVYOVIZDA18YIQ0A30Q052PCAK">#REF!</definedName>
    <definedName localSheetId="1" name="BEx3L4IN3LI4C26SITKTGAH27CDU">#REF!</definedName>
    <definedName name="BExGXWB73RJ4BASBQTQ8EY0EC1EB">#REF!</definedName>
    <definedName name="XRefCopy35">#REF!</definedName>
    <definedName localSheetId="1" name="BEx5IC06RVN8BSAEPREVKHKLCJ2L">#REF!</definedName>
    <definedName name="BExBCRBEYR2KZ8FAQFZ2NHY13WIY">#REF!</definedName>
    <definedName localSheetId="1" name="BEx56ZID5H04P9AIYLP1OASFGV56">#REF!</definedName>
    <definedName localSheetId="1" name="BExSHVGPIAHXI97UBLI9G4I4M29F">#REF!</definedName>
    <definedName localSheetId="1" name="BExZRP1X6UVLN1UOLHH5VF4STP1O">#REF!</definedName>
    <definedName name="BExAZX6FECVK3E07KXM2XPYKGM6U">#REF!</definedName>
    <definedName localSheetId="1" name="BExKEOOIBMP7N8033EY2CJYCBX6H">#REF!</definedName>
    <definedName localSheetId="1" name="BExF3WYIGFTZZGWPIG2EF7GL8XHY">#REF!</definedName>
    <definedName name="BEx1OYN1LPIPI12O9G6F7QAOS9T4">#REF!</definedName>
    <definedName localSheetId="1" name="BExIYP9Q6FV9T0R9G3UDKLS4TTYX">#REF!</definedName>
    <definedName localSheetId="1" name="BEx1WC67EH10SC38QWX3WEA5KH3A">#REF!</definedName>
    <definedName name="XRefCopy80">#REF!</definedName>
    <definedName name="BExS7Y2LNGVHSIBKC7C3R6X4LDR6">#REF!</definedName>
    <definedName localSheetId="1" name="BEx1LRUSJW4JG54X07QWD9R27WV9">#REF!</definedName>
    <definedName name="XRefCopy78Row">#REF!</definedName>
    <definedName localSheetId="1" name="BExIGJBO8R13LV7CZ7C1YCP974NN">#REF!</definedName>
    <definedName localSheetId="1" name="BExS7TKQYLRZGM93UY3ZJZJBQNFJ">#REF!</definedName>
    <definedName name="BExU6PAVKIOAIMQ9XQIHHF1SUAGO">#REF!</definedName>
    <definedName localSheetId="1" name="XRefPaste19">#REF!</definedName>
    <definedName name="BExMCFSQFSEMPY5IXDIRKZDASDBR">#REF!</definedName>
    <definedName localSheetId="1" name="BExKO438WZ8FKOU00NURGFMOYXWN">#REF!</definedName>
    <definedName localSheetId="1" name="XRefPaste111">#REF!</definedName>
    <definedName localSheetId="1" name="BExQ2L0XYWLY9VPZWXYYFRIRQRJ1">#REF!</definedName>
    <definedName name="BEx99B77I7TUSHRR4HIZ9FU2EIUT">#REF!</definedName>
    <definedName name="BExB57MZEPL2SA2ONPK66YFLZWJU">#REF!</definedName>
    <definedName localSheetId="1" name="XRefCopy52Row">#REF!</definedName>
    <definedName localSheetId="1" name="BEx5G86DZL1VYUX6KWODAP3WFAWP">#REF!</definedName>
    <definedName localSheetId="1" name="BExSCVC9P86YVFMRKKUVRV29MZXZ">#REF!</definedName>
    <definedName name="BExIG2U8V6RSB47SXLCQG3Q68YRO">#REF!</definedName>
    <definedName name="BExD9MNYBYB1AICQL5165G472IE2">#REF!</definedName>
    <definedName name="BExSGZJO4J4ZO04E2N2ECVYS9DEZ">#REF!</definedName>
    <definedName name="BExGQ61DTJ0SBFMDFBAK3XZ9O0ZO">#REF!</definedName>
    <definedName localSheetId="1" name="BExXR3FSEXAHSXEQNJORWFCPX86N">#REF!</definedName>
    <definedName localSheetId="1" name="BEx9H04IB14E1437FF2OIRRWBSD7">#REF!</definedName>
    <definedName localSheetId="1" name="BExMEOV9YFRY5C3GDLU60GIX10BY">#REF!</definedName>
    <definedName name="XRefPaste59Row">#REF!</definedName>
    <definedName localSheetId="1" name="BEx00DXTY2JDVGWQKV8H7FG4SV30">#REF!</definedName>
    <definedName localSheetId="1" name="BEx3EUUAX947Q5N6MY6W0KSNY78Y">#REF!</definedName>
    <definedName localSheetId="1" name="BExMJTBV8A3D31W2IQHP9RDFPPHQ">#REF!</definedName>
    <definedName name="BExY2GDPCZPVU0IQ6IJIB1YQQRQ6">#REF!</definedName>
    <definedName localSheetId="1" name="XRefCopy23">#REF!</definedName>
    <definedName localSheetId="1" name="BEx3JX23SYDIGOGM4Y0CQFBW8ZBV">#REF!</definedName>
    <definedName localSheetId="1" name="BExBDBZQLTX3OGFYGULQFK5WEZU5">#REF!</definedName>
    <definedName name="BExUAMWQODKBXMRH1QCMJLJBF8M7">#REF!</definedName>
    <definedName localSheetId="1" name="XRefCopy58">#REF!</definedName>
    <definedName name="BExH1FOMEUIJNIDJAUY0ZQFBJSY9">#REF!</definedName>
    <definedName name="BExXR3FSEXAHSXEQNJORWFCPX86N">#REF!</definedName>
    <definedName localSheetId="1" name="BExH31Z3JNVJPESWKXHILGXZHP2M">#REF!</definedName>
    <definedName name="BExVTCMDQMLKRA2NQR72XU6Y54IK">#REF!</definedName>
    <definedName name="BExQ63793YQ9BH7JLCNRIATIGTRG">#REF!</definedName>
    <definedName localSheetId="1" name="BExOERG5LWXYYEN1DY1H2FWRJS9T">#REF!</definedName>
    <definedName localSheetId="1" name="BExOGT6D0LJ3C22RDW8COECKB1J5">#REF!</definedName>
    <definedName localSheetId="1" name="BExD3IJ5IT335SOSNV9L85WKAOSI">#REF!</definedName>
    <definedName name="BExMIRKIPF27SNO82SPFSB3T5U17">#REF!</definedName>
    <definedName localSheetId="1" name="BExU7O2BJ6D5YCKEL6FD2EFCWYRX">#REF!</definedName>
    <definedName localSheetId="1" name="BEx7C04AM39DQMC1TIX7CFZ2ADHX">#REF!</definedName>
    <definedName name="BExD99RZ1RFIMK6O1ZHSPJ68X9Y5">#REF!</definedName>
    <definedName localSheetId="1" name="BExF02Y3V3QEPO2XLDSK47APK9XJ">#REF!</definedName>
    <definedName localSheetId="1" name="BExY50JAF5CG01GTHAUS7I4ZLUDC">#REF!</definedName>
    <definedName localSheetId="1" name="BExOGTMI1HT31M1RGWVRAVHAK7DE">#REF!</definedName>
    <definedName localSheetId="1" name="BExIIY37NEVU2LGS1JE4VR9AN6W4">#REF!</definedName>
    <definedName localSheetId="1" name="XRefCopy20Row">#REF!</definedName>
    <definedName name="BEx5H1UJSEUQM2K8QHQXO5THVHSO">#REF!</definedName>
    <definedName name="BExF57K7L3UC1I2FSAWURR4SN0UN">#REF!</definedName>
    <definedName name="BEx74Q6H3O7133AWQXWC21MI2UFT">#REF!</definedName>
    <definedName localSheetId="1" name="BExZX0EWQEZO86WDAD9A4EAEZ012">#REF!</definedName>
    <definedName name="BExF37C1YKBT79Z9SOJAG5MXQGTU">#REF!</definedName>
    <definedName localSheetId="1" name="BExGL97US0Y3KXXASUTVR26XLT70">#REF!</definedName>
    <definedName localSheetId="1" name="BExOFVLXVD6RVHSQO8KZOOACSV24">#REF!</definedName>
    <definedName name="XRefCopy12">#REF!</definedName>
    <definedName localSheetId="1" name="BExIQ3OJ7M04XCY276IO0LJA5XUK">#REF!</definedName>
    <definedName localSheetId="1" name="BEx7GF3VA7OT2KE41DRJJQGXDIMJ">#REF!</definedName>
    <definedName name="BExML3XQNDIMX55ZCHHXKUV3D6E6">#REF!</definedName>
    <definedName localSheetId="1" name="BEx95TBVUWV7L7OMFMZDQEXGVHU6">#REF!</definedName>
    <definedName localSheetId="1" name="Swvu.ACC.">#REF!</definedName>
    <definedName localSheetId="1" name="BExGN4I0QATXNZCLZJM1KH1OIJQH">#REF!</definedName>
    <definedName localSheetId="1" name="BExQAG8PP8R5NJKNQD1U4QOSD6X5">#REF!</definedName>
    <definedName name="BEx02Y3KJZH5BGDM9QEZ1PVVI114">#REF!</definedName>
    <definedName localSheetId="1" name="BExB1FKNY2UO4W5FUGFHJOA2WFGG">#REF!</definedName>
    <definedName name="BExILG5F338C0FFLMVOKMKF8X5ZP">#REF!</definedName>
    <definedName name="BExSGE9LY91Q0URHB4YAMX0UAMYI">#REF!</definedName>
    <definedName name="XRefCopy10Row">#REF!</definedName>
    <definedName name="XRefCopy18Row">#REF!</definedName>
    <definedName name="BEx1SSSWL61TKWDW4NP0YL5US9C6">#REF!</definedName>
    <definedName name="BEx741WJHIJVXUX131SBXTVW8D71">#REF!</definedName>
    <definedName localSheetId="1" name="BExMKUN3WPECJR2XRID2R7GZRGNX">#REF!</definedName>
    <definedName name="BExCZUD9FEOJBKDJ51Z3JON9LKJ8">#REF!</definedName>
    <definedName localSheetId="1" name="BExS82PRVNUTEKQZS56YT2DVF6C2">#REF!</definedName>
    <definedName name="BExQ6M8B0X44N9TV56ATUVHGDI00">#REF!</definedName>
    <definedName name="BEx7H14XCXH7WEXEY1HVO53A6AGH">#REF!</definedName>
    <definedName name="BExGQ6SG9XEOD0VMBAR22YPZWSTA">#REF!</definedName>
    <definedName localSheetId="1" name="BExSBMOS41ZRLWYLOU29V6Y7YORR">#REF!</definedName>
    <definedName localSheetId="1" name="BEx1KUVWMB0QCWA3RBE4CADFVRIS">#REF!</definedName>
    <definedName localSheetId="1" name="BExB7265DCHKS7V2OWRBXCZTEIW9">#REF!</definedName>
    <definedName localSheetId="1" name="XRefCopy69Row">#REF!</definedName>
    <definedName localSheetId="1" name="XRefPaste37Row">#REF!</definedName>
    <definedName localSheetId="1" name="BExEV6VGM4POO9QT9KH3QA3VYCWM">#REF!</definedName>
    <definedName name="BEx1HO94JIRX219MPWMB5E5XZ04X">#REF!</definedName>
    <definedName name="BExQFC0M9KKFMQKPLPEO2RQDB7MM">#REF!</definedName>
    <definedName localSheetId="1" name="BExBA6K42582A14WFFWQ3Q8QQWB6">#REF!</definedName>
    <definedName localSheetId="1" name="XRefPaste9">#REF!</definedName>
    <definedName localSheetId="1" name="BEx3I09YVXO0G4X7KGSA4WGORM35">#REF!</definedName>
    <definedName localSheetId="1" name="BEx00KZHZBHP3TDV1YMX4B19B95O">#REF!</definedName>
    <definedName name="BEx93TJUX3U0FJDBG6DDSNQ91R5J">#REF!</definedName>
    <definedName name="BExO9RS5RXFJ1911HL3CCK6M74EP">#REF!</definedName>
    <definedName localSheetId="1" name="BExY4MG771JQ84EMIVB6HQGGHZY7">#REF!</definedName>
    <definedName name="BExCW13R0GWJYGXZBNCPAHQN4NR2">#REF!</definedName>
    <definedName name="BEx96KR21O7H9R29TN0S45Y3QPUK">#REF!</definedName>
    <definedName localSheetId="1" name="BExMCFSQFSEMPY5IXDIRKZDASDBR">#REF!</definedName>
    <definedName name="BExXSBSP1TOY051HSPEPM0AEIO2M">#REF!</definedName>
    <definedName name="BEx9IXCSPSZC80YZUPRCYTG326KV">#REF!</definedName>
    <definedName name="BExS6GKQ96EHVLYWNJDWXZXUZW90">#REF!</definedName>
    <definedName name="BExUA6Q4K25VH452AQ3ZIRBCMS61">#REF!</definedName>
    <definedName localSheetId="1" name="XRefPaste27">#REF!</definedName>
    <definedName name="BExKV08R85MKI3MAX9E2HERNQUNL">#REF!</definedName>
    <definedName localSheetId="1" name="BExXRA6N6XCLQM6XDV724ZIH6G93">#REF!</definedName>
    <definedName name="BEx1FZV2CM77TBH1R6YYV9P06KA2">#REF!</definedName>
    <definedName localSheetId="1" name="XRefCopy47">#REF!</definedName>
    <definedName name="BExY11FH9TXHERUYGG8FE50U7H7J">#REF!</definedName>
    <definedName localSheetId="1" name="BEx1WX04G0INSPPG9NTNR3DYR6PZ">#REF!</definedName>
    <definedName name="BExBDJS9TUEU8Z84IV59E5V4T8K6">#REF!</definedName>
    <definedName name="BExGRUKVVKDL8483WI70VN2QZDGD">#REF!</definedName>
    <definedName localSheetId="1" name="BEx1IKRPW8MLB9Y485M1TL2IT9SH">#REF!</definedName>
    <definedName name="BEx95U89DZZSVO39TGS62CX8G9N4">#REF!</definedName>
    <definedName localSheetId="1" name="BEx7AE4LPLX8N85BYB0WCO5S7ZPV">#REF!</definedName>
    <definedName name="BEx5NZSSQ6PY99ZX2D7Q9IGOR34W">#REF!</definedName>
    <definedName localSheetId="1" name="BEx3O19B8FTTAPVT5DZXQGQXWFR8">#REF!</definedName>
    <definedName localSheetId="1" name="BExXOHSAD2NSHOLLMZ2JWA4I3I1R">#REF!</definedName>
    <definedName localSheetId="1" name="XRefPaste5Row">#REF!</definedName>
    <definedName localSheetId="1" name="BExY1UCL0RND63LLSM9X5SFRG117">#REF!</definedName>
    <definedName name="BEx009G00IN0JUIAQ4WE9NHTMQE2">#REF!</definedName>
    <definedName name="BExMPD2X55FFBVJ6CBUKNPROIOEU">#REF!</definedName>
    <definedName localSheetId="1" name="BExGW2Z7AMPG6H9EXA9ML6EZVGGA">#REF!</definedName>
    <definedName name="BExKNGV2YY749C42AQ2T9QNIE5C3">#REF!</definedName>
    <definedName localSheetId="1" name="BExW9POK1KIOI0ALS5MZIKTDIYMA">#REF!</definedName>
    <definedName localSheetId="1" name="BExKI4076KXCDE5KXL79KT36OKLO">#REF!</definedName>
    <definedName localSheetId="1" name="BExD363H2VGFIQUCE6LS4AC5J0ZT">#REF!</definedName>
    <definedName localSheetId="1" name="BExOBP0FKQ4SVR59FB48UNLKCOR6">#REF!</definedName>
    <definedName name="BExXSC8RFK5D68FJD2HI4K66SA6I">#REF!</definedName>
    <definedName name="BEx9E14TDNSEMI784W0OTIEQMWN6">#REF!</definedName>
    <definedName localSheetId="1" name="BEx1RZA1NCGT832L7EMR7GMF588W">#REF!</definedName>
    <definedName localSheetId="1" name="BEx3GPDH2AH4QKT4OOSN563XUHBD">#REF!</definedName>
    <definedName localSheetId="1" name="BExSAQBHIXGQRNIRGCJMBXUPCZQA">#REF!</definedName>
    <definedName name="BEx78SFO5VR28677DWZEMDN7G86X">#REF!</definedName>
    <definedName name="BExXXZQNZY6IZI45DJXJK0MQZWA7">#REF!</definedName>
    <definedName name="BExTZO2596CBZKPI7YNA1QQNPAIJ">#REF!</definedName>
    <definedName name="BExF1M38U6NX17YJA8YU359B5Z4M">#REF!</definedName>
    <definedName localSheetId="1" name="BExU6FEU1MRHU98R9YOJC5OKUJ6L">#REF!</definedName>
    <definedName localSheetId="1" name="BExSHGH88QZWW4RNAX4YKAZ5JEBL">#REF!</definedName>
    <definedName name="BExDAYBHU9ADLXI8VRC7F608RVGM">#REF!</definedName>
    <definedName localSheetId="1" name="XRefCopy114">#REF!</definedName>
    <definedName localSheetId="1" name="BExY6Q9YY7LW745GP7CYOGGSPHGE">#REF!</definedName>
    <definedName name="BEx1WLWY2CR1WRD694JJSWSDFAIR">#REF!</definedName>
    <definedName name="BExQFPSWEMA8WBUZ4WK20LR13VSU">#REF!</definedName>
    <definedName name="BExIYEXJBK8JDWIRSVV4RJSKZVV1">#REF!</definedName>
    <definedName localSheetId="1" name="BExKNBGV2IR3S7M0BX4810KZB4V3">#REF!</definedName>
    <definedName localSheetId="1" name="BExIX5OAP9KSUE5SIZCW9P39Q4WE">#REF!</definedName>
    <definedName localSheetId="1" name="BExGS6F1JFHM5MUJ1RFO50WP6D05">#REF!</definedName>
    <definedName name="BExD3CJJDKVR9M18XI3WDZH80WL6">#REF!</definedName>
    <definedName name="XRefCopy114">#REF!</definedName>
    <definedName name="BEx1FGDRUHHLI1GBHELT4PK0LY4V">#REF!</definedName>
    <definedName name="XRefCopy49">#REF!</definedName>
    <definedName name="BExKQQ71278061G7ZFYGPWOMOMY2">#REF!</definedName>
    <definedName localSheetId="1" name="BEx97H9O1NAKAPK4MX4PKO34ICL5">#REF!</definedName>
    <definedName name="BExXSJ4XCDPBK74B8K7HT2PV4DID">#REF!</definedName>
    <definedName localSheetId="1" name="BExF1MU4W3NPEY0OHRDWP5IANCBB">#REF!</definedName>
    <definedName name="BExVXHKI6LFYMGWISMPACMO247HL">#REF!</definedName>
    <definedName name="XRefCopy36">#REF!</definedName>
    <definedName name="BEx78226TN58UE0CTY98YEDU0LSL">#REF!</definedName>
    <definedName name="BEx56ZID5H04P9AIYLP1OASFGV56">#REF!</definedName>
    <definedName name="BExB2O2UYHKI324YE324E1N7FVIB">#REF!</definedName>
    <definedName localSheetId="1" name="BExVX3XN2DRJKL8EDBIG58RYQ36R">#REF!</definedName>
    <definedName name="_48__123Graph_FHO_MPRICE">#REF!</definedName>
    <definedName name="BExZWKZ5N3RDXU8MZ8HQVYYD8O0F">#REF!</definedName>
    <definedName localSheetId="1" name="BExZMKL5YQZD7F0FUCSVFGLPFK52">#REF!</definedName>
    <definedName localSheetId="1" name="BEx93TJUX3U0FJDBG6DDSNQ91R5J">#REF!</definedName>
    <definedName localSheetId="1" name="BExOHL75H3OT4WAKKPUXIVXWFVDS">#REF!</definedName>
    <definedName name="BExUCX0Y0MSPCJGGN2EQS3WBD79A">#REF!</definedName>
    <definedName name="BEx5J0FFP1KS4NGY20AEJI8VREEA">#REF!</definedName>
    <definedName localSheetId="1" name="_37__123Graph_COP75_25PRICE">#REF!</definedName>
    <definedName name="XRefPaste63">#REF!</definedName>
    <definedName localSheetId="1" name="BEx79YJJLBELICW9F9FRYSCQ101L">#REF!</definedName>
    <definedName name="BExMDPI2FVMORSWDDCVAJ85WYAYO">#REF!</definedName>
    <definedName name="BEx9ETLU0EK5LGEM1QCNYN2S8O5F">#REF!</definedName>
    <definedName localSheetId="1" name="BExEVPGF4V5J0WQRZKUM8F9TTKZJ">#REF!</definedName>
    <definedName name="XRefPaste107Row">#REF!</definedName>
    <definedName name="BExMCB5JU5I2VQDUBS4O42BTEVKI">#REF!</definedName>
    <definedName localSheetId="1" name="BEx5MB9BR71LZDG7XXQ2EO58JC5F">#REF!</definedName>
    <definedName localSheetId="1" name="XRefCopy5">#REF!</definedName>
    <definedName localSheetId="1" name="BEx3RXYU0QLFXSFTM5EB20GD03W5">#REF!</definedName>
    <definedName localSheetId="1" name="BEx59E9WABJP2TN71QAIKK79HPK9">#REF!</definedName>
    <definedName localSheetId="1" name="BEx1GVMRHFXUP6XYYY9NR12PV5TF">#REF!</definedName>
    <definedName localSheetId="1" name="BExSEP9UVOAI6TMXKNK587PQ3328">#REF!</definedName>
    <definedName name="BExU1PH9MOEX1JZVZ3D5M9DXB191">#REF!</definedName>
    <definedName name="BExGQ1ZU4967P72AHF4V1D0FOL5C">#REF!</definedName>
    <definedName localSheetId="1" name="BExW4YEIR89MD677HBLHZFF54ZZ5">#REF!</definedName>
    <definedName localSheetId="1" name="BExY0OJHW85S0VKBA8T4HTYPYBOS">#REF!</definedName>
    <definedName name="BEx94HZ5LURYM9ST744ALV6ZCKYP">#REF!</definedName>
    <definedName localSheetId="1" name="BExY2GDPCZPVU0IQ6IJIB1YQQRQ6">#REF!</definedName>
    <definedName name="BExIWH3KUK94B7833DD4TB0Y6KP9">#REF!</definedName>
    <definedName name="BExQJJYSDX8B0J1QGF2HL071KKA3">#REF!</definedName>
    <definedName localSheetId="1" name="BExBAOOT1KBSIEISN1ADL4RMY879">#REF!</definedName>
    <definedName name="BExF2MSWNUY9Z6BZJQZ538PPTION">#REF!</definedName>
    <definedName name="BExXTM3M4RTCRSX7VGAXGQNPP668">#REF!</definedName>
    <definedName localSheetId="1" name="BExU8FSAUP9TUZ1NO9WXK80QPHWV">#REF!</definedName>
    <definedName name="XRefCopy122">#REF!</definedName>
    <definedName localSheetId="1" name="BExY1WAT3937L08HLHIRQHMP2A3H">#REF!</definedName>
    <definedName localSheetId="1" name="BExS8R51C8RM2FS6V6IRTYO9GA4A">#REF!</definedName>
    <definedName localSheetId="1" name="BExKU3FBLHQBIUTN6XEZW5GC9OG1">#REF!</definedName>
    <definedName name="BEx1U87938YR9N6HYI24KVBKLOS3">#REF!</definedName>
    <definedName name="BEx3J1VZVGTKT4ATPO9O5JCSFTTR">#REF!</definedName>
    <definedName localSheetId="1" name="XRefCopy63Row">#REF!</definedName>
    <definedName localSheetId="1" name="BExVWINKCH0V0NUWH363SMXAZE62">#REF!</definedName>
    <definedName name="BExMA64MW1S18NH8DCKPCCEI5KCB">#REF!</definedName>
    <definedName name="BExME9A7MOGAK7YTTQYXP5DL6VYA">#REF!</definedName>
    <definedName name="BExXR8OKAVX7O70V5IYG2PRKXSTI">#REF!</definedName>
    <definedName name="BExW4JKC5837JBPCOJV337ZVYYY3">#REF!</definedName>
    <definedName name="BEx1LRUSJW4JG54X07QWD9R27WV9">#REF!</definedName>
    <definedName localSheetId="1" name="BExMAXJS82ZJ8RS22VLE0V0LDUII">#REF!</definedName>
    <definedName localSheetId="1" name="BExH225UTM6S9FW4MUDZS7F1PQSH">#REF!</definedName>
    <definedName localSheetId="1" name="BExBC78HXWXHO3XAB6E8NVTBGLJS">#REF!</definedName>
    <definedName localSheetId="1" name="BExTVZQLP9VFLEYQ9280W13X7E8K">#REF!</definedName>
    <definedName name="BExKGV77YH9YXIQTRKK2331QGYKF">#REF!</definedName>
    <definedName name="BEx7A9S3JA1X7FH4CFSQLTZC4691">#REF!</definedName>
    <definedName localSheetId="1" name="BExONNZ9VMHVX3J6NLNJY7KZA61O">#REF!</definedName>
    <definedName localSheetId="1" name="XRefCopy40Row">#REF!</definedName>
    <definedName localSheetId="1" name="XRefCopy64">#REF!</definedName>
    <definedName localSheetId="1" name="BExKILE008SF3KTAN8WML3XKI1NZ">#REF!</definedName>
    <definedName name="BExOK4WM9O7QNG6O57FOASI5QSN1">#REF!</definedName>
    <definedName name="BExF09OS91RT7N7IW8JLMZ121ZP3">#REF!</definedName>
    <definedName localSheetId="1" name="BEx5DAJAHQ2SKUPCKSCR3PYML67L">#REF!</definedName>
    <definedName localSheetId="1" name="BExSFKQRST2S9KXWWLCXYLKSF4G1">#REF!</definedName>
    <definedName name="XRefPaste122Row">#REF!</definedName>
    <definedName localSheetId="1" name="XRefPaste38">#REF!</definedName>
    <definedName name="XRefPaste134">#REF!</definedName>
    <definedName name="BExUDEV0CYVO7Y5IQQBEJ6FUY9S6">#REF!</definedName>
    <definedName localSheetId="1" name="BExMDKEN87PA3PLFF0ROVB21NE5O">#REF!</definedName>
    <definedName localSheetId="1" name="BEx3QIKJ3U962US1Q564NZDLU8LD">#REF!</definedName>
    <definedName localSheetId="1" name="BExML5QGSWHLI18BGY4CGOTD3UWH">#REF!</definedName>
    <definedName name="BExTUWXFQHINU66YG82BI20ATMB5">#REF!</definedName>
    <definedName name="BExSH8ZHA4WJJ2FDU0IE6I9CL5T9">#REF!</definedName>
    <definedName localSheetId="1" name="BExOIEVCP4Y6VDS23AK84MCYYHRT">#REF!</definedName>
    <definedName name="BEx1HIPLJZABY0EMUOTZN0EQMDPU">#REF!</definedName>
    <definedName localSheetId="1" name="XREF_COLUMN_12">#REF!</definedName>
    <definedName localSheetId="1" name="BEx3NR2I4OUFP3Z2QZEDU2PIFIDI">#REF!</definedName>
    <definedName localSheetId="1" name="BExH0WNJAKTJRCKMTX8O4KNMIIJM">#REF!</definedName>
    <definedName localSheetId="1" name="BExOO1WWIZSGB0YTGKESB45TSVMZ">#REF!</definedName>
    <definedName localSheetId="1" name="BExB58U5FQC5JWV9CGC83HLLZUZI">#REF!</definedName>
    <definedName localSheetId="1" name="BExQ4BTBSHPHVEDRCXC2ROW8PLFC">#REF!</definedName>
    <definedName name="BEx3M9VFX329PZWYC4DMZ6P3W9R2">#REF!</definedName>
    <definedName name="BEx9IT5QNZWKM6YQ5WER0DC2PMMU">#REF!</definedName>
    <definedName name="BExOL7KH12VAR0LG741SIOJTLWFD">#REF!</definedName>
    <definedName localSheetId="1" name="BExINMYYJO1FTV1CZF6O5XCFAMQX">#REF!</definedName>
    <definedName localSheetId="1" name="BExSGOAYG73SFWOPAQV80P710GID">#REF!</definedName>
    <definedName localSheetId="1" name="XRefCopy73Row">#REF!</definedName>
    <definedName name="BExS194110MR25BYJI3CJ2EGZ8XT">#REF!</definedName>
    <definedName name="BEx5JF3ZXLDIS8VNKDCY7ZI7H1CI">#REF!</definedName>
    <definedName name="BExXY7TYEBFXRYUYIFHTN65RJ8EW">#REF!</definedName>
    <definedName name="BExS92DKGRFFCIA9C0IXDOLO57EP">#REF!</definedName>
    <definedName localSheetId="1" name="BExKPX9VZ1J5021Q98K60HMPJU58">#REF!</definedName>
    <definedName localSheetId="1" name="BExKEK6O5BVJP4VY02FY7JNAZ6BT">#REF!</definedName>
    <definedName localSheetId="1" name="BExEWO7STL7HNZSTY8VQBPTX1WK6">#REF!</definedName>
    <definedName name="BExCWPDPESGZS07QGBLSBWDNVJLZ">#REF!</definedName>
    <definedName name="BExS0K8IHC45I78DMZBOJ1P13KQA">#REF!</definedName>
    <definedName localSheetId="1" name="BExISDHXS49S1H56ENBPRF1NLD5C">#REF!</definedName>
    <definedName localSheetId="1" name="BExQ7JNFIEGS2HKNBALH3Q2N5G7Z">#REF!</definedName>
    <definedName localSheetId="1" name="XRefPaste68Row">#REF!</definedName>
    <definedName localSheetId="1" name="BExS9C9N8GFISC6HUERJ0EI06GB2">#REF!</definedName>
    <definedName name="XRefPaste130">#REF!</definedName>
    <definedName localSheetId="1" name="XRefCopy12Row">#REF!</definedName>
    <definedName localSheetId="1" name="BExDBDR1XR0FV0CYUCB2OJ7CJCZU">#REF!</definedName>
    <definedName name="BExOJXEUJJ9SYRJXKYYV2NCCDT2R">#REF!</definedName>
    <definedName name="BExISM1JLV54A21A164IURMPGUMU">#REF!</definedName>
    <definedName name="BEx1P34W467WGPOXPK292QFJIPHJ">#REF!</definedName>
    <definedName name="BEx981HW73BUZWT14TBTZHC0ZTJ4">#REF!</definedName>
    <definedName name="BExY0C3UBVC4M59JIRXVQ8OWAJC1">#REF!</definedName>
    <definedName name="XRefCopy69Row">#REF!</definedName>
    <definedName localSheetId="1" name="BExDCL7K96PC9VZYB70ZW3QPVIJE">#REF!</definedName>
    <definedName name="BEx1KKP1ELIF2UII2FWVGL7M1X7J">#REF!</definedName>
    <definedName name="BEx9GNOPB6OZ2RH3FCDNJR38RJOS">#REF!</definedName>
    <definedName name="BExS4JN3Y6SVBKILQK0R9HS45Y52">#REF!</definedName>
    <definedName localSheetId="1" name="BExB15ZDRY4CIJ911DONP0KCY9KU">#REF!</definedName>
    <definedName localSheetId="1" name="BEx5OAFS0NJ2CB86A02E1JYHMLQ1">#REF!</definedName>
    <definedName localSheetId="1" name="BExIZ4K0EZJK6PW3L8SVKTJFSWW9">#REF!</definedName>
    <definedName name="BExQ9KX9734KIAK7IMRLHCPYDHO2">#REF!</definedName>
    <definedName localSheetId="1" name="BEx58ZW0HAIGIPEX9CVA1PQQTR6X">#REF!</definedName>
    <definedName name="BExU56WNCJ5H1CASPLT629IWA8B3">#REF!</definedName>
    <definedName localSheetId="1" name="BEx5H0NEE0AIN5E2UHJ9J9ISU9N1">#REF!</definedName>
    <definedName name="BExKPLQJX0HJ8OTXBXH9IC9J2V0W">#REF!</definedName>
    <definedName localSheetId="1" name="BExXWWXHBZHA9J3N8K47F84X0M0L">#REF!</definedName>
    <definedName name="BExGX6U988MCFIGDA1282F92U9AA">#REF!</definedName>
    <definedName localSheetId="1" name="BExZRGD1603X5ACFALUUDKCD7X48">#REF!</definedName>
    <definedName name="XRefPaste101Row">#REF!</definedName>
    <definedName name="BEx1NS8EU5P9FQV3S0WRTXI5L361">#REF!</definedName>
    <definedName localSheetId="1" name="XRefCopy61Row">#REF!</definedName>
    <definedName name="BExOBOUXMP88KJY2BX2JLUJH5N0K">#REF!</definedName>
    <definedName localSheetId="1" name="XRefCopy57">#REF!</definedName>
    <definedName localSheetId="1" name="BExQ7XL2Q1GVUFL1F9KK0K0EXMWG">#REF!</definedName>
    <definedName localSheetId="1" name="XRefCopy135">#REF!</definedName>
    <definedName name="BEx001CNWHJ5RULCSFM36ZCGJ1UH">#REF!</definedName>
    <definedName name="BExUCLC6AQ5KR6LXSAXV4QQ8ASVG">#REF!</definedName>
    <definedName localSheetId="1" name="BExMPMTICOSMQENOFKQ18K0ZT4S8">#REF!</definedName>
    <definedName name="XRefPaste135Row">#REF!</definedName>
    <definedName name="BExMH3H9TW5TJCNU5Z1EWXP3BAEP">#REF!</definedName>
    <definedName localSheetId="1" name="BExBEYFQJE9YK12A6JBMRFKEC7RN">#REF!</definedName>
    <definedName name="BExSEJKZLX37P3V33TRTFJ30BFRK">#REF!</definedName>
    <definedName localSheetId="1" name="XRefCopy55">#REF!</definedName>
    <definedName localSheetId="1" name="BExKPN8C7GN36ZJZHLOB74LU6KT0">#REF!</definedName>
    <definedName localSheetId="1" name="BExS226HTWL5WVC76MP5A1IBI8WD">#REF!</definedName>
    <definedName name="BExMKBGQDUZ8AWXYHA3QVMSDVZ3D">#REF!</definedName>
    <definedName name="BExUAFV4JMBSM2SKBQL9NHL0NIBS">#REF!</definedName>
    <definedName localSheetId="1" name="BExXYYT12SVN2VDMLVNV4P3ISD8T">#REF!</definedName>
    <definedName localSheetId="1" name="BExMCA96YR10V72G2R0SCIKPZLIZ">#REF!</definedName>
    <definedName name="BEx1I4QKTILCKZUSOJCVZN7SNHL5">#REF!</definedName>
    <definedName localSheetId="1" name="BEx5E123OLO9WQUOIRIDJ967KAGK">#REF!</definedName>
    <definedName localSheetId="1" name="BExVYHDYIV5397LC02V4FEP8VD6W">#REF!</definedName>
    <definedName localSheetId="1" name="BEx7C40F0PQURHPI6YQ39NFIR86Z">#REF!</definedName>
    <definedName localSheetId="1" name="BExU1IL9AOHFO85BZB6S60DK3N8H">#REF!</definedName>
    <definedName name="BExEWNBGQS1U2LW3W84T4LSJ9K00">#REF!</definedName>
    <definedName localSheetId="1" name="XRefCopy79">#REF!</definedName>
    <definedName localSheetId="1" name="BExSAAVWQOOIA6B3JHQVGP08HFEM">#REF!</definedName>
    <definedName name="BExS3OMGYO0DFN5186UFKEXZ2RX3">#REF!</definedName>
    <definedName name="BExU0HKTO8WJDQDWRTUK5TETM3HS">#REF!</definedName>
    <definedName name="BExES4A7VE2X3RYYTVRLKZD4I7WU">#REF!</definedName>
    <definedName localSheetId="1" name="BExQ6WV9KPSMXPPLGZ3KK4WNYTHU">#REF!</definedName>
    <definedName localSheetId="1" name="XRefPaste101">#REF!</definedName>
    <definedName name="_43__123Graph_DOP75_25RETURN">#REF!</definedName>
    <definedName name="BExZZ2FQA9A8C7CJKMEFQ9VPSLCE">#REF!</definedName>
    <definedName localSheetId="1" name="BExKJN5IF0VMDILJ5K8ZENF2QYV1">#REF!</definedName>
    <definedName localSheetId="1" name="BExY53J7EXFEOFTRNAHLK7IH3ACB">#REF!</definedName>
    <definedName localSheetId="1" name="BExERSANFNM1O7T65PC5MJ301YET">#REF!</definedName>
    <definedName localSheetId="1" name="ACwvu.LPERDAS.">#REF!</definedName>
    <definedName name="BExVT3MPE8LQ5JFN3HQIFKSQ80U4">#REF!</definedName>
    <definedName localSheetId="1" name="BExCV634L7SVHGB0UDDTRRQ2Q72H">#REF!</definedName>
    <definedName name="BEx5E2UU5NES6W779W2OZTZOB4O7">#REF!</definedName>
    <definedName localSheetId="1" name="BExQ9E6FBAXTHGF3RXANFIA77GXP">#REF!</definedName>
    <definedName name="BEx3EJR3TCJDYS7ZXNDS5N9KTGIK">#REF!</definedName>
    <definedName name="BExONJ1BU17R0F5A2UP1UGJBOGKS">#REF!</definedName>
    <definedName localSheetId="1" name="XRefCopy25">#REF!</definedName>
    <definedName localSheetId="1" name="BExZLGVLMKTPFXG42QYT0PO81G7F">#REF!</definedName>
    <definedName localSheetId="1" name="XRefCopy17">#REF!</definedName>
    <definedName name="XRefPaste65Row">#REF!</definedName>
    <definedName localSheetId="1" name="BEx5BBI61U4Y65GD0ARMTALPP7SJ">#REF!</definedName>
    <definedName name="BExB4Z3EZBGYYI33U0KQ8NEIH8PY">#REF!</definedName>
    <definedName name="BExOHX6Q6NJI793PGX59O5EKTP4G">#REF!</definedName>
    <definedName name="BEx99WBYT2D6UUC1PT7A40ENYID4">#REF!</definedName>
    <definedName localSheetId="1" name="BExD5EV7KDSVF1CJT38M4IBPFLPY">#REF!</definedName>
    <definedName name="BExW2MSCKPGF5K3I7TL4KF5ISUOL">#REF!</definedName>
    <definedName name="BExVTCMDDEDGLUIMUU6BSFHEWTOP">#REF!</definedName>
    <definedName name="BEx5DC18JM1KJCV44PF18E0LNRKA">#REF!</definedName>
    <definedName name="BExB30IP1DNKNQ6PZ5ERUGR5MK4Z">#REF!</definedName>
    <definedName localSheetId="1" name="XRefPaste27Row">#REF!</definedName>
    <definedName name="BExH1JFFHEBFX9BWJMNIA3N66R3Z">#REF!</definedName>
    <definedName localSheetId="1" name="XRefCopy50Row">#REF!</definedName>
    <definedName localSheetId="1" name="BExQ8O3WEU8HNTTGKTW5T0QSKCLP">#REF!</definedName>
    <definedName localSheetId="1" name="BExIJWPCIYINEJUTXU74VK7WG031">#REF!</definedName>
    <definedName localSheetId="1" name="BEx009G00IN0JUIAQ4WE9NHTMQE2">#REF!</definedName>
    <definedName localSheetId="1" name="BExXLR6IO70TYTACKQH9M5PGV24J">#REF!</definedName>
    <definedName localSheetId="1" name="BExMI3AJ9477KDL4T9DHET4LJJTW">#REF!</definedName>
    <definedName localSheetId="1" name="BExMKU7051J2W1RQXGZGE62NBRUZ">#REF!</definedName>
    <definedName localSheetId="1" name="BExXW2YIM2MYBSHRIX0RP9D4PRMN">#REF!</definedName>
    <definedName localSheetId="1" name="BExO4J9LR712G00TVA82VNTG8O7H">#REF!</definedName>
    <definedName localSheetId="1" name="BExKOPO2HPWVQGAKW8LOZMPIDEFG">#REF!</definedName>
    <definedName localSheetId="1" name="BExGU6HTKLRZO8UOI3DTAM5RFDBA">#REF!</definedName>
    <definedName name="BExSFZVPFTXA3F0IJ2NGH1GXX9R7">#REF!</definedName>
    <definedName name="BExQ94LAW6MAQBWY25WTBFV5PPZJ">#REF!</definedName>
    <definedName localSheetId="1" name="BExZM85FOVUFF110XMQ9O2ODSJUK">#REF!</definedName>
    <definedName localSheetId="1" name="XRefCopy59Row">#REF!</definedName>
    <definedName name="BEx75VJGR07JY6UUWURQ4PJ29UKC">#REF!</definedName>
    <definedName name="XRefCopy25">#REF!</definedName>
    <definedName localSheetId="1" name="BExH1FDTQXR9QQ31WDB7OPXU7MPT">#REF!</definedName>
    <definedName localSheetId="1" name="BEx5FLJWHLW3BTZILDPN5NMA449V">#REF!</definedName>
    <definedName localSheetId="1" name="BExEPUGSVB4X0IDBHLYDQHC6B7IX">#REF!</definedName>
    <definedName name="BExU96M1J7P9DZQ3S9H0C12KGYTW">#REF!</definedName>
    <definedName localSheetId="1" name="BExCT4NSDT61OCH04Y2QIFIOP75H">#REF!</definedName>
    <definedName name="BEx948ZFFQWVIDNG4AZAUGGGEB5U">#REF!</definedName>
    <definedName name="BEx5BNN8NPH9KVOBARB9CDD9WLB6">#REF!</definedName>
    <definedName localSheetId="1" name="BExIQG9OO2KKBOWTMD1OXY36TEGA">#REF!</definedName>
    <definedName name="BExCVI86R31A2IOZIEBY1FJLVILD">#REF!</definedName>
    <definedName name="BExMO9IOWKTWHO8LQJJQI5P3INWY">#REF!</definedName>
    <definedName localSheetId="1" name="BExGSQY65LH1PCKKM5WHDW83F35O">#REF!</definedName>
    <definedName name="BEx9F78N4HY0XFGBQ4UJRD52L1EI">#REF!</definedName>
    <definedName localSheetId="1" name="BExGSYW1GKISF0PMUAK3XJK9PEW9">#REF!</definedName>
    <definedName localSheetId="1" name="BExS81YPDZDVJJVS15HV2HDXAC3Y">#REF!</definedName>
    <definedName localSheetId="1" name="XREF_COLUMN_9">#REF!</definedName>
    <definedName localSheetId="1" name="BExKNZLD7UATC1MYRNJD8H2NH4KU">#REF!</definedName>
    <definedName localSheetId="1" name="BEx3LCGH5JQKRLG3PYH76PHBTOGF">#REF!</definedName>
    <definedName localSheetId="1" name="BEx5NDX6XYQDRNSB7FQYZ5WHVY83">#REF!</definedName>
    <definedName name="XRefPaste28">#REF!</definedName>
    <definedName localSheetId="1" name="XRefPaste35Row">#REF!</definedName>
    <definedName localSheetId="1" name="XRefCopy65Row">#REF!</definedName>
    <definedName name="BExQEMUA4HEFM4OVO8M8MA8PIAW1">#REF!</definedName>
    <definedName localSheetId="1" name="BExSDT20XUFXTDM37M148AXAP7HN">#REF!</definedName>
    <definedName localSheetId="1" name="BEx95QBZMG0E2KQ9BERJ861QLYN3">#REF!</definedName>
    <definedName name="BExMBYPQDG9AYDQ5E8IECVFREPO6">#REF!</definedName>
    <definedName name="BExB6HN3QRFPXM71MDUK21BKM7PF">#REF!</definedName>
    <definedName name="XRefPaste57">#REF!</definedName>
    <definedName localSheetId="1" name="BExEX85F3OSW8NSCYGYPS9372Z1Q">#REF!</definedName>
    <definedName name="XRefPaste104">#REF!</definedName>
    <definedName name="BExGQ36ZOMR9GV8T05M605MMOY3Y">#REF!</definedName>
    <definedName localSheetId="1" name="BExBAX2X2ENJYO4QTR5VAIQ86L7B">#REF!</definedName>
    <definedName localSheetId="1" name="BExD3KBVUY57GMMQTOFEU6S6G1AY">#REF!</definedName>
    <definedName name="BEx3GMJ1Y6UU02DLRL0QXCEKDA6C">#REF!</definedName>
    <definedName name="XRefCopy24Row">#REF!</definedName>
    <definedName localSheetId="1" name="BEx3AMAKWI6458B67VKZO56MCNJW">#REF!</definedName>
    <definedName localSheetId="1" name="XRefCopy24">#REF!</definedName>
    <definedName name="BEx3T29ZTULQE0OMSMWUMZDU9ZZ0">#REF!</definedName>
    <definedName name="BExIKXVA6M8K0PTRYAGXS666L335">#REF!</definedName>
    <definedName name="BExISRFKJYUZ4AKW44IJF7RF9Y90">#REF!</definedName>
    <definedName localSheetId="1" name="BExTUKXSZBM7C57G6NGLWGU4WOHY">#REF!</definedName>
    <definedName name="BEx9GUQALUWCD30UKUQGSWW8KBQ7">#REF!</definedName>
    <definedName localSheetId="1" name="BExS9FPRS2KRRCS33SE6WFNF5GYL">#REF!</definedName>
    <definedName name="BExXN0QIIZ7UY545501QB4HXODQI">#REF!</definedName>
    <definedName localSheetId="1" name="BExMCYTT6TVDWMJXO1NZANRTVNAN">#REF!</definedName>
    <definedName localSheetId="1" name="BExS3OMGYO0DFN5186UFKEXZ2RX3">#REF!</definedName>
    <definedName localSheetId="1" name="XRefCopy74Row">#REF!</definedName>
    <definedName name="BEx1HGWNWPLNXICOTP90TKQVVE4E">#REF!</definedName>
    <definedName localSheetId="1" name="XRefPaste13">#REF!</definedName>
    <definedName name="BEx96SUFKHHFE8XQ6UUO6ILDOXHO">#REF!</definedName>
    <definedName name="BExGW0KVS7U0C87XFZ78QW991IEV">#REF!</definedName>
    <definedName name="BExF0WRM9VO25RLSO03ZOCE8H7K5">#REF!</definedName>
    <definedName localSheetId="1" name="BExD6CQA7UMJBXV7AIFAIHUF2ICX">#REF!</definedName>
    <definedName localSheetId="1" name="BExMFDLBSWFMRDYJ2DZETI3EXKN2">#REF!</definedName>
    <definedName localSheetId="1" name="BEx3UR4A5PRJ338NMHPZF21JOMU0">#REF!</definedName>
    <definedName localSheetId="1" name="BEx3QR9D45DHW50VQ7Y3Q1AXPOB9">#REF!</definedName>
    <definedName name="BExQGO48J9MPCDQ96RBB9UN9AIGT">#REF!</definedName>
    <definedName localSheetId="1" name="BExXRIFB4QQ87QIGA9AG0NXP577K">#REF!</definedName>
    <definedName name="BEx5GID9MVBUPFFT9M8K8B5MO9NV">#REF!</definedName>
    <definedName localSheetId="1" name="BExY2GTSZ3VA9TXLY7KW1LIAKJ61">#REF!</definedName>
    <definedName name="BExVZB1Y5J4UL2LKK0363EU7GIJ1">#REF!</definedName>
    <definedName name="BEx5PRXMZ5M65Z732WNNGV564C2J">#REF!</definedName>
    <definedName localSheetId="1" name="BEx1NO6TXZVOGCUWCCRTXRXWW0XL">#REF!</definedName>
    <definedName name="XRefPaste135">#REF!</definedName>
    <definedName name="BEx3T6MJ1QDJ929WMUDVZ0O3UW0Y">#REF!</definedName>
    <definedName name="BExKSU0MKNAVZYYPKCYTZDWQX4R8">#REF!</definedName>
    <definedName localSheetId="1" name="BExF76FV8SF7AJK7B35AL7VTZF6D">#REF!</definedName>
    <definedName name="BEx92PUBDIXAU1FW5ZAXECMAU0LN">#REF!</definedName>
    <definedName localSheetId="1" name="BExIVCXWL6H5LD9DHDIA4F5U9TQL">#REF!</definedName>
    <definedName name="BExXSVQ2WOJJ73YEO8Q2FK60V4G8">#REF!</definedName>
    <definedName name="BExXRO4A6VUH1F4XV8N1BRJ4896W">#REF!</definedName>
    <definedName localSheetId="1" name="_55__123Graph_XCHART_1">#REF!</definedName>
    <definedName name="BExTZK5PMCAXJL4DUIGL6H9Y8U4C">#REF!</definedName>
    <definedName name="BExOGTMI1HT31M1RGWVRAVHAK7DE">#REF!</definedName>
    <definedName localSheetId="1" name="BEx3RV4E1WT43SZBUN09RTB8EK1O">#REF!</definedName>
    <definedName name="BExZQZKT146WEN8FTVZ7Y5TSB8L5">#REF!</definedName>
    <definedName localSheetId="1" name="XRefPaste75Row">#REF!</definedName>
    <definedName name="BExXRABZ1CNKCG6K1MR6OUFHF7J9">#REF!</definedName>
    <definedName name="BExJ08KBRR2XMWW3VZMPSQKXHZUH">#REF!</definedName>
    <definedName name="BExY07WSDH5QEVM7BJXJK2ZRAI1O">#REF!</definedName>
    <definedName name="_Table2_In2">#REF!</definedName>
    <definedName localSheetId="1" name="BExQ9M4E2ACZOWWWP1JJIQO8AHUM">#REF!</definedName>
    <definedName localSheetId="1" name="BExIXS036ZCKT2Z8XZKLZ8PFWQGL">#REF!</definedName>
    <definedName localSheetId="1" name="BExQ4XJHD7EJCNH7S1MJDZJ2MNWG">#REF!</definedName>
    <definedName name="BExIXGRJPVJMUDGSG7IHPXPNO69B">#REF!</definedName>
    <definedName localSheetId="1" name="BExOEBKG55EROA2VL360A06LKASE">#REF!</definedName>
    <definedName localSheetId="1" name="BExQ8DM90XJ6GCJIK9LC5O82I2TJ">#REF!</definedName>
    <definedName name="BEx77P0S3GVMS7BJUL9OWUGJ1B02">#REF!</definedName>
    <definedName localSheetId="1" name="BExS3MTQ75VBXDGEBURP6YT8RROE">#REF!</definedName>
    <definedName localSheetId="1" name="BExIIYJAGXR8TPZ1KCYM7EGJ79UW">#REF!</definedName>
    <definedName localSheetId="1" name="BExQLE1TOW3A287TQB0AVWENT8O1">#REF!</definedName>
    <definedName localSheetId="1" name="BExIKRF6AQ6VOO9KCIWSM6FY8M7D">#REF!</definedName>
    <definedName name="XRefPaste21Row">#REF!</definedName>
    <definedName name="XRefCopy22">#REF!</definedName>
    <definedName name="BExZKV5GYXO0X760SBD9TWTIQHGI">#REF!</definedName>
    <definedName name="BExU9F05OR1GZ3057R6UL3WPEIYI">#REF!</definedName>
    <definedName name="BExD3KBVUY57GMMQTOFEU6S6G1AY">#REF!</definedName>
    <definedName name="BExF31N3YM4F37EOOY8M8VI1KXN8">#REF!</definedName>
    <definedName name="BExERSANFNM1O7T65PC5MJ301YET">#REF!</definedName>
    <definedName localSheetId="1" name="XRefPaste26Row">#REF!</definedName>
    <definedName name="XRefPaste19Row">#REF!</definedName>
    <definedName name="_14__123Graph_ACHART_3">#REF!</definedName>
    <definedName name="BEx3ELJTTBS6P05CNISMGOJOA60V">#REF!</definedName>
    <definedName localSheetId="1" name="BExF42SSBVPMLK2UB3B7FPEIY9TU">#REF!</definedName>
    <definedName localSheetId="1" name="BExW3FEO8FI8N6AGQKYEG4SQVJWB">#REF!</definedName>
    <definedName localSheetId="1" name="BEx5MLQZM68YQSKARVWTTPINFQ2C">#REF!</definedName>
    <definedName name="BExW66LVVZK656PQY1257QMHP2AY">#REF!</definedName>
    <definedName name="BExH23271RF7AYZ542KHQTH68GQ7">#REF!</definedName>
    <definedName name="BExF4SF9NEX1FZE9N8EXT89PM54D">#REF!</definedName>
    <definedName name="BExIGJBO8R13LV7CZ7C1YCP974NN">#REF!</definedName>
    <definedName name="BEx9IW5MFLXTVCJHVUZTUH93AXOS">#REF!</definedName>
    <definedName localSheetId="1" name="BEx9952469XMFGSPXL7CMXHPJF90">#REF!</definedName>
    <definedName localSheetId="1" name="BEx02SEL3Z1QWGAHXDPUA9WLTTPS">#REF!</definedName>
    <definedName name="BEx955NIAWX5OLAHMTV6QFUZPR30">#REF!</definedName>
    <definedName name="BExQ79LX01ZPQB8EGD1ZHR2VK2H3">#REF!</definedName>
    <definedName name="BEx5C49ZFH8TO9ZU55729C3F7XG7">#REF!</definedName>
    <definedName name="XRefCopy1Row">#REF!</definedName>
    <definedName localSheetId="1" name="XRefPaste62">#REF!</definedName>
    <definedName localSheetId="1" name="BEx7CO8T2XKC7GHDSYNAWTZ9L7YR">#REF!</definedName>
    <definedName name="BExSCVC9P86YVFMRKKUVRV29MZXZ">#REF!</definedName>
    <definedName localSheetId="1" name="BExY4XOVTTNVZ577RLIEC7NZQFIX">#REF!</definedName>
    <definedName localSheetId="1" name="BExKLD6S9L66QYREYHBE5J44OK7X">#REF!</definedName>
    <definedName localSheetId="1" name="BExZSS0LA2JY4ZLJ1Z5YCMLJJZCH">#REF!</definedName>
    <definedName localSheetId="1" name="BEx3R0JUB9YN8PHPPQTAMIT1IHWK">#REF!</definedName>
    <definedName localSheetId="1" name="BExIJV22J0QA7286KNPMHO1ZUCB3">#REF!</definedName>
    <definedName name="BExIR2ALYRP9FW99DK2084J7IIDC">#REF!</definedName>
    <definedName name="BExKKIM9NPF6B3SPMPIQB27HQME4">#REF!</definedName>
    <definedName localSheetId="1" name="BExXSC8RFK5D68FJD2HI4K66SA6I">#REF!</definedName>
    <definedName localSheetId="1" name="XRefPaste118">#REF!</definedName>
    <definedName name="BExXNBOA39T2X6Y5Y5GZ5DDNA1AX">#REF!</definedName>
    <definedName name="BExTZ7F71SNTOX4LLZCK5R9VUMIJ">#REF!</definedName>
    <definedName name="BExSGOWJTAP41ZV5Q23H7MI9C76W">#REF!</definedName>
    <definedName localSheetId="1" name="BExMALEWFUEM8Y686IT03ECURUBR">#REF!</definedName>
    <definedName name="BExQ4BTBSHPHVEDRCXC2ROW8PLFC">#REF!</definedName>
    <definedName name="BExXQH41O5HZAH8BO6HCFY8YC3TU">#REF!</definedName>
    <definedName name="BExQ3PXOWSN8561ZR8IEY8ZASI3B">#REF!</definedName>
    <definedName localSheetId="1" name="BExZVBQ29OM0V8XAL3HL0JIM0MMU">#REF!</definedName>
    <definedName name="BExQ783XTMM2A9I3UKCFWJH1PP2N">#REF!</definedName>
    <definedName name="BEx7CW1CF00DO8A36UNC2X7K65C2">#REF!</definedName>
    <definedName localSheetId="1" name="XRefPaste136">#REF!</definedName>
    <definedName name="BExMDKEN87PA3PLFF0ROVB21NE5O">#REF!</definedName>
    <definedName name="BExSG90Q4ZUU2IPGDYOM169NJV9S">#REF!</definedName>
    <definedName name="BExVVQ19AQ3VCARJOC38SF7OYE9Y">#REF!</definedName>
    <definedName localSheetId="1" name="BEx1KGY9QEHZ9QSARMQUTQKRK4UX">#REF!</definedName>
    <definedName name="BExXP80B5FGA00JCM7UXKPI3PB7Y">#REF!</definedName>
    <definedName localSheetId="1" name="BEx7881ZZBWHRAX6W2GY19J8MGEQ">#REF!</definedName>
    <definedName name="BExOJM0W6XGSW5MXPTTX0GNF6SFT">#REF!</definedName>
    <definedName name="BExO6LLHCYTF7CIVHKAO0NMET14Q">#REF!</definedName>
    <definedName name="BExQCI9R9LRWCBHD0WDH5HFJL94W">#REF!</definedName>
    <definedName name="XRefPaste67">#REF!</definedName>
    <definedName name="BExMOI29DOEK5R1A5QZPUDKF7N6T">#REF!</definedName>
    <definedName localSheetId="1" name="Swvu.AFAC.">#REF!</definedName>
    <definedName localSheetId="1" name="_17__123Graph_ACHART_11">#REF!</definedName>
    <definedName localSheetId="1" name="BExXOBHOP0WGFHI2Y9AO4L440UVQ">#REF!</definedName>
    <definedName name="XRefCopy26Row">#REF!</definedName>
    <definedName name="BExU2TXVT25ZTOFQAF6CM53Z1RLF">#REF!</definedName>
    <definedName localSheetId="1" name="BExQBIGGY5TXI2FJVVZSLZ0LTZYH">#REF!</definedName>
    <definedName name="BEx1NZ4K1L8UON80Y2A4RASKWGNP">#REF!</definedName>
    <definedName localSheetId="1" name="_40__123Graph_XCHART_1">#REF!</definedName>
    <definedName name="XRefCopy5">#REF!</definedName>
    <definedName name="XRefPaste34Row">#REF!</definedName>
    <definedName localSheetId="1" name="XRefPaste117Row">#REF!</definedName>
    <definedName localSheetId="1" name="XRefPaste71Row">#REF!</definedName>
    <definedName name="XRefPaste124Row">#REF!</definedName>
    <definedName localSheetId="1" name="_31__123Graph_BOP75_25PRICE">#REF!</definedName>
    <definedName name="BExKNZLD7UATC1MYRNJD8H2NH4KU">#REF!</definedName>
    <definedName name="XRefCopy28Row">#REF!</definedName>
    <definedName name="BEx1WR0D41MR174LBF3P9E3K0J51">#REF!</definedName>
    <definedName localSheetId="1" name="XRefPaste36Row">#REF!</definedName>
    <definedName localSheetId="1" name="BExEQDXZALJLD4OBF74IKZBR13SR">#REF!</definedName>
    <definedName name="BExXXVUDA98IZTQ6MANKU4MTTDVR">#REF!</definedName>
    <definedName localSheetId="1" name="BEx3ORSBUXAF21MKEY90YJV9AY9A">#REF!</definedName>
    <definedName localSheetId="1" name="BExU9GCSO5YILIKG6VAHN13DL75K">#REF!</definedName>
    <definedName localSheetId="1" name="BExZP7AIJKLM6C6CSUIIFAHFBNX2">#REF!</definedName>
    <definedName localSheetId="1" name="_26__123Graph_BCHART_3">#REF!</definedName>
    <definedName localSheetId="1" name="BExH3IRB6764RQ5HBYRLH6XCT29X">#REF!</definedName>
    <definedName localSheetId="1" name="BExIKTYZESFT3LC0ASFMFKSE0D1X">#REF!</definedName>
    <definedName name="BExMMQ835AJDHS4B419SS645P67Q">#REF!</definedName>
    <definedName name="XRefPaste1">#REF!</definedName>
    <definedName name="BExD6FKVK8WJWNYPVENR7Q8Q30PK">#REF!</definedName>
    <definedName localSheetId="1" name="BExD4H5GQWXBS6LUL3TSP36DVO38">#REF!</definedName>
    <definedName localSheetId="1" name="_51__123Graph_FOP75_25RETURN">#REF!</definedName>
    <definedName localSheetId="1" name="BEx9EG9KBJ77M8LEOR9ITOKN5KXY">#REF!</definedName>
    <definedName name="BExZQXBYEBN28QUH1KOVW6KKA5UM">#REF!</definedName>
    <definedName name="XRefPaste27">#REF!</definedName>
    <definedName name="BExIOTZ5EFZ2NASVQ05RH15HRSW6">#REF!</definedName>
    <definedName name="BExGX7FTB1CKAT5HUW6H531FIY6I">#REF!</definedName>
    <definedName name="BExOIYCN8Z4JK3OOG86KYUCV0ME8">#REF!</definedName>
    <definedName localSheetId="1" name="BExQA55GY0STSNBWQCWN8E31ZXCS">#REF!</definedName>
    <definedName localSheetId="1" name="BExB012NJ8GASTNNPBRRFTLHIOC9">#REF!</definedName>
    <definedName name="BExOM3HIJ3UZPOKJI68KPBJAHPDC">#REF!</definedName>
    <definedName localSheetId="1" name="BExU5DSTBWXLN6E59B757KRWRI6E">#REF!</definedName>
    <definedName name="BExGQPO7ENFEQC0NC6MC9OZR2LHY">#REF!</definedName>
    <definedName name="BExD3IJ5IT335SOSNV9L85WKAOSI">#REF!</definedName>
    <definedName localSheetId="1" name="BEx1XK8AAMO0AH0Z1OUKW30CA7EQ">#REF!</definedName>
    <definedName name="XREF_COLUMN_32">#REF!</definedName>
    <definedName localSheetId="1" name="XRefCopy61">#REF!</definedName>
    <definedName localSheetId="1" name="BExZR485AKBH93YZ08CMUC3WROED">#REF!</definedName>
    <definedName localSheetId="1" name="BEx9FF16LOQP5QIR4UHW5EIFGQB8">#REF!</definedName>
    <definedName name="BExGM4DZ65OAQP7MA4LN6QMYZOFF">#REF!</definedName>
    <definedName name="BExDAGMVMNLQ6QXASB9R6D8DIT12">#REF!</definedName>
    <definedName localSheetId="1" name="BExY11FH9TXHERUYGG8FE50U7H7J">#REF!</definedName>
    <definedName name="BEx3AMAKWI6458B67VKZO56MCNJW">#REF!</definedName>
    <definedName localSheetId="1" name="BExMR1MA4I1X77714ZEPUVC8W398">#REF!</definedName>
    <definedName localSheetId="1" name="BEx1G59AY8195JTUM6P18VXUFJ3E">#REF!</definedName>
    <definedName name="BEx3L7D0PI38HWZ7VADU16C9E33D">#REF!</definedName>
    <definedName localSheetId="1" name="XRefPaste134Row">#REF!</definedName>
    <definedName name="BExGWLEOC70Z8QAJTPT2PDHTNM4L">#REF!</definedName>
    <definedName name="BExZUYDULCX65H9OZ9JHPBNKF3MI">#REF!</definedName>
    <definedName name="BExMNKN5D1WEF2OOJVP6LZ6DLU3Y">#REF!</definedName>
    <definedName name="BEx3C6C7D1670YZQB4B1IE8352RY">#REF!</definedName>
    <definedName localSheetId="1" name="BEx5BESZC5H329SKHGJOHZFILYJJ">#REF!</definedName>
    <definedName name="XRefCopy72Row">#REF!</definedName>
    <definedName localSheetId="1" name="BExEQB8ZWXO6IIGOEPWTLOJGE2NR">#REF!</definedName>
    <definedName name="BExKU82I99FEUIZLODXJDOJC96CQ">#REF!</definedName>
    <definedName name="BExZKHYORG3O8C772XPFHM1N8T80">#REF!</definedName>
    <definedName name="BExKMWBX4EH3EYJ07UFEM08NB40Z">#REF!</definedName>
    <definedName name="BExU66KMFBAP8JCVG9VM1RD1TNFF">#REF!</definedName>
    <definedName localSheetId="1" name="BEx75GJZSZHUDN6OOAGQYFUDA2LP">#REF!</definedName>
    <definedName localSheetId="1" name="XREF_COLUMN_30">#REF!</definedName>
    <definedName name="BEx3EF99FD6QNNCNOKDEE67JHTUJ">#REF!</definedName>
    <definedName name="BExOHL75H3OT4WAKKPUXIVXWFVDS">#REF!</definedName>
    <definedName name="BExW0386REQRCQCVT9BCX80UPTRY">#REF!</definedName>
    <definedName name="BExZQON28CICEHB445XVLZKQITQ3">#REF!</definedName>
    <definedName name="BExSC54998WTZ21DSL0R8UN0Y9JH">#REF!</definedName>
    <definedName localSheetId="1" name="BExIQ3J19L30PSQ2CXNT6IHW0I7V">#REF!</definedName>
    <definedName localSheetId="1" name="XRefCopy12">#REF!</definedName>
    <definedName name="BEx3K4ZXQUQ2KYZF74B84SO48XMW">#REF!</definedName>
    <definedName localSheetId="1" name="BExS8WDX408F60MH1X9B9UZ2H4R7">#REF!</definedName>
    <definedName name="BExVW5X571GEYR5SCU1Z2DHKWM79">#REF!</definedName>
    <definedName localSheetId="1" name="BExF63S045JO7H2ZJCBTBVH3SUIF">#REF!</definedName>
    <definedName localSheetId="1" name="BEx3PMNG53Z5HY138H99QOMTX8W3">#REF!</definedName>
    <definedName localSheetId="1" name="BExQK3LE5CSBW1E4H4KHW548FL2R">#REF!</definedName>
    <definedName name="BEx1HQNF6KHM21E3XLW0NMSSEI9S">#REF!</definedName>
    <definedName localSheetId="1" name="BExGMZ3SRIXLXMWBVOXXV3M4U4YL">#REF!</definedName>
    <definedName localSheetId="1" name="XRefPaste69">#REF!</definedName>
    <definedName name="BExESMKD95A649M0WRSG6CXXP326">#REF!</definedName>
    <definedName name="BEx3OJZSCGFRW7SVGBFI0X9DNVMM">#REF!</definedName>
    <definedName localSheetId="1" name="XRefPaste129Row">#REF!</definedName>
    <definedName name="BEx5BYFMZ80TDDN2EZO8CF39AIAC">#REF!</definedName>
    <definedName name="BEx1F0SOZ3H5XUHXD7O01TCR8T6J">#REF!</definedName>
    <definedName localSheetId="1" name="XRefPaste11">#REF!</definedName>
    <definedName localSheetId="1" name="BExBD4I559NXSV6J07Q343TKYMVJ">#REF!</definedName>
    <definedName localSheetId="1" name="BExIYZGLDQ1TN7BIIN4RLDP31GIM">#REF!</definedName>
    <definedName name="BExVYHDYIV5397LC02V4FEP8VD6W">#REF!</definedName>
    <definedName name="BExKJ449HLYX2DJ9UF0H9GTPSQ73">#REF!</definedName>
    <definedName name="BEx9I8XIG7E5NB48QQHXP23FIN60">#REF!</definedName>
    <definedName name="BEx1GVMRHFXUP6XYYY9NR12PV5TF">#REF!</definedName>
    <definedName name="_22__123Graph_BCHART_10">#REF!</definedName>
    <definedName localSheetId="1" name="BExD7IUBGUWHYC9UNZ1IY5XFYKQN">#REF!</definedName>
    <definedName name="BEx1VIY9SQLRESD11CC4PHYT0XSG">#REF!</definedName>
    <definedName name="BExKLEZK32L28GYJWVO63BZ5E1JD">#REF!</definedName>
    <definedName localSheetId="1" name="_10__123Graph_ACHART_10">#REF!</definedName>
    <definedName name="XRefPaste123">#REF!</definedName>
    <definedName name="BExB1FKNY2UO4W5FUGFHJOA2WFGG">#REF!</definedName>
    <definedName localSheetId="1" name="BExZXYQ7U5G08FQGUIGYT14QCBOF">#REF!</definedName>
    <definedName name="BExIQ3J19L30PSQ2CXNT6IHW0I7V">#REF!</definedName>
    <definedName name="BEx7C40F0PQURHPI6YQ39NFIR86Z">#REF!</definedName>
    <definedName localSheetId="1" name="BExQFEEV7627R8TYZCM28C6V6WHE">#REF!</definedName>
    <definedName localSheetId="1" name="BEx3SN56F03CPDRDA7LZ763V0N4I">#REF!</definedName>
    <definedName localSheetId="1" name="BExU6KIAJ663Y8W8QMU4HCF183DF">#REF!</definedName>
    <definedName name="BExQ8583ZE00NW7T9OF11OT9IA14">#REF!</definedName>
    <definedName name="XRefCopy8">#REF!</definedName>
    <definedName localSheetId="1" name="BEx90HDD4RWF7JZGA8GCGG7D63MG">#REF!</definedName>
    <definedName localSheetId="1" name="BEx1L6Q60MWRDJB4L20LK0XPA0Z2">#REF!</definedName>
    <definedName name="BExVRRDJWUUFUP0AOL4AKZHFKCSS">#REF!</definedName>
    <definedName name="BEx1NM34KQTO1LDNSAFD1L82UZFG">#REF!</definedName>
    <definedName localSheetId="1" name="BEx9GDY4D8ZPQJCYFIMYM0V0C51Y">#REF!</definedName>
    <definedName localSheetId="1" name="BEx5CAPTVN2NBT3UOMA1UFAL1C2R">#REF!</definedName>
    <definedName localSheetId="1" name="BEx3IZXXSYEW50379N2EAFWO8DZV">#REF!</definedName>
    <definedName localSheetId="1" name="BExKFA3VI1CZK21SM0N3LZWT9LA1">#REF!</definedName>
    <definedName localSheetId="1" name="BExZJMY170JCUU1RWASNZ1HJPRTA">#REF!</definedName>
    <definedName localSheetId="1" name="BExW6G1PJ38H10DVLL8WPQ736OEB">#REF!</definedName>
    <definedName localSheetId="1" name="XRefCopy55Row">#REF!</definedName>
    <definedName name="BEx97NPQBACJVD9K1YXI08RTW9E2">#REF!</definedName>
    <definedName localSheetId="1" name="BExCXILMURGYMAH6N5LF5DV6K3GM">#REF!</definedName>
    <definedName localSheetId="1" name="BEx7EI6C8MCRZFEQYUBE5FSUTIHK">#REF!</definedName>
    <definedName localSheetId="1" name="BEx91AQQRTV87AO27VWHSFZAD4ZR">#REF!</definedName>
    <definedName name="BExF0LOEHV42P2DV7QL8O7HOQ3N9">#REF!</definedName>
    <definedName name="BExF6GNYXWY8A0SY4PW1B6KJMMTM">#REF!</definedName>
    <definedName localSheetId="1" name="BExY2IRURL9LQPALZ2F8LX87PIDT">#REF!</definedName>
    <definedName localSheetId="1" name="BEx3EJR3TCJDYS7ZXNDS5N9KTGIK">#REF!</definedName>
    <definedName name="XRefPaste24Row">#REF!</definedName>
    <definedName name="BExKOPO2HPWVQGAKW8LOZMPIDEFG">#REF!</definedName>
    <definedName name="BExF6ZE8D5CMPJPRWT6S4HM56LPF">#REF!</definedName>
    <definedName name="BExQHCZSBYUY8OKKJXFYWKBBM6AH">#REF!</definedName>
    <definedName localSheetId="1" name="BExS6WRDBF3ST86ZOBBUL3GTCR11">#REF!</definedName>
    <definedName localSheetId="1" name="BExIIXMY38TQD12CVV4S57L3I809">#REF!</definedName>
    <definedName localSheetId="1" name="XRefCopy30Row">#REF!</definedName>
    <definedName localSheetId="1" name="BExO9SDRI1M6KMHXSG3AE5L0F2U3">#REF!</definedName>
    <definedName name="BEx00GHLTYRH5N2S6P78YW1CD30N">#REF!</definedName>
    <definedName localSheetId="1" name="XRefPaste7Row">#REF!</definedName>
    <definedName localSheetId="1" name="BExBAKN7XIBAXCF9PCNVS038PCQO">#REF!</definedName>
    <definedName localSheetId="1" name="BExXZOVPCEP495TQSON6PSRQ8XCY">#REF!</definedName>
    <definedName name="XRefPaste117">#REF!</definedName>
    <definedName name="BExZLGVLMKTPFXG42QYT0PO81G7F">#REF!</definedName>
    <definedName localSheetId="1" name="BExINZELVWYGU876QUUZCIMXPBQC">#REF!</definedName>
    <definedName name="BExB1TNRV5EBWZEHYLHI76T0FVA7">#REF!</definedName>
    <definedName name="BExXRA6N6XCLQM6XDV724ZIH6G93">#REF!</definedName>
    <definedName localSheetId="1" name="XRefCopy139">#REF!</definedName>
    <definedName name="BExZRW8W514W8OZ72YBONYJ64GXF">#REF!</definedName>
    <definedName localSheetId="1" name="BEx3JXCXCVBZJGV5VEG9MJEI01AL">#REF!</definedName>
    <definedName localSheetId="1" name="BExO55G2KVZ7MIJ30N827CLH0I2A">#REF!</definedName>
    <definedName name="BExET3HXQ60A4O2OLKX8QNXRI6LQ">#REF!</definedName>
    <definedName localSheetId="1" name="BEx1IERWBTW6RDRO3PBG5Y1IQ7WE">#REF!</definedName>
    <definedName name="BEx1FEVSJKTI1Q1Z874QZVFSJSVA">#REF!</definedName>
    <definedName name="BExXTP3GYO6Z9RTKKT10XA0UTV3T">#REF!</definedName>
    <definedName localSheetId="1" name="BEx7MT4MFNXIVQGAT6D971GZW7CA">#REF!</definedName>
    <definedName name="BEx5D8L47OF0WHBPFWXGZINZWUBZ">#REF!</definedName>
    <definedName localSheetId="1" name="BExF09OS91RT7N7IW8JLMZ121ZP3">#REF!</definedName>
    <definedName localSheetId="1" name="XRefPaste45">#REF!</definedName>
    <definedName name="BEx3JYK2N7X59TPJSKYZ77ENY8SS">#REF!</definedName>
    <definedName name="BExH00L21GZX5YJJGVMOAWBERLP5">#REF!</definedName>
    <definedName name="BExOAQ3GKCT7YZW1EMVU3EILSZL2">#REF!</definedName>
    <definedName name="BEx7AVCX9S5RJP3NSZ4QM4E6ERDT">#REF!</definedName>
    <definedName localSheetId="1" name="BExUA28AO7OWDG3H23Q0CL4B7BHW">#REF!</definedName>
    <definedName localSheetId="1" name="XRefPaste17">#REF!</definedName>
    <definedName name="BEx3L60DJOR7NQN42G7YSAODP1EX">#REF!</definedName>
    <definedName name="BExXQU00K9ER4I1WM7T9J0W1E7ZC">#REF!</definedName>
    <definedName localSheetId="1" name="BExXXVUDA98IZTQ6MANKU4MTTDVR">#REF!</definedName>
    <definedName localSheetId="1" name="BExJ08KBRR2XMWW3VZMPSQKXHZUH">#REF!</definedName>
    <definedName localSheetId="1" name="BExXQXQT4OAFQT5B0YB3USDJOJOB">#REF!</definedName>
    <definedName localSheetId="1" name="BExU0MTJQPE041ZN7H8UKGV6MZT7">#REF!</definedName>
    <definedName localSheetId="1" name="REHFBJFN">#REF!</definedName>
    <definedName localSheetId="1" name="XRefCopy59">#REF!</definedName>
    <definedName name="BExCX3X451T70LZ1VF95L7W4Y4TM">#REF!</definedName>
    <definedName name="BExZXD5CPAJIQWY7VW67LBVFT6F7">#REF!</definedName>
    <definedName name="XRefPaste118Row">#REF!</definedName>
    <definedName localSheetId="1" name="BExBD53Q6MSBM2HROZ1FCZLJBTGB">#REF!</definedName>
    <definedName localSheetId="1" name="BEx3LM1PR4Y7KINKMTMKR984GX8Q">#REF!</definedName>
    <definedName localSheetId="1" name="BExO6LLHCYTF7CIVHKAO0NMET14Q">#REF!</definedName>
    <definedName localSheetId="1" name="BEx587EYSS57E3PI8DT973HLJM9E">#REF!</definedName>
    <definedName localSheetId="1" name="BExU9RW36I5Z6JIXUIUB3PJH86LT">#REF!</definedName>
    <definedName name="BExKIU87ZKSOC2DYZWFK6SAK9I8E">#REF!</definedName>
    <definedName name="BExZQ3NT7H06VO0AR48WHZULZB93">#REF!</definedName>
    <definedName name="BExU4L101H2KQHVKCKQ4PBAWZV6K">#REF!</definedName>
    <definedName localSheetId="1" name="BExZR7TL98P2PPUVGIZYR5873DWW">#REF!</definedName>
    <definedName localSheetId="1" name="BExOG2SW3XOGP9VAPQ3THV3VWV12">#REF!</definedName>
    <definedName name="XRefCopy57">#REF!</definedName>
    <definedName localSheetId="1" name="BExZXT6JOXNKEDU23DKL8XZAJZIH">#REF!</definedName>
    <definedName localSheetId="1" name="BExMLO5Z61RE85X8HHX2G4IU3AZW">#REF!</definedName>
    <definedName name="BEx3QEDFOYFY5NBTININ5W4RLD4Q">#REF!</definedName>
    <definedName name="BExF19CT3MMZZ2T5EWMDNG3UOJ01">#REF!</definedName>
    <definedName name="BExOMP7NGCLUNFK50QD2LPKRG078">#REF!</definedName>
    <definedName name="BExOQ1JN4SAC44RTMZIGHSW023WA">#REF!</definedName>
    <definedName localSheetId="1" name="XRefPaste67Row">#REF!</definedName>
    <definedName localSheetId="1" name="BEx94HZ5LURYM9ST744ALV6ZCKYP">#REF!</definedName>
    <definedName name="ACwvu.Fabio.">#REF!</definedName>
    <definedName localSheetId="1" name="BExS59F0PA1V2ZC7S5TN6IT41SXP">#REF!</definedName>
    <definedName localSheetId="1" name="BExQIS8O6R36CI01XRY9ISM99TW9">#REF!</definedName>
    <definedName localSheetId="1" name="BExU47OZMS6TCWMEHHF0UCSFLLPI">#REF!</definedName>
    <definedName name="BExKPX9VZ1J5021Q98K60HMPJU58">#REF!</definedName>
    <definedName localSheetId="1" name="BEx5O3ZUQ2OARA1CDOZ3NC4UE5AA">#REF!</definedName>
    <definedName localSheetId="1" name="BEx1IE0ZP7RIFM9FI24S9I6AAJ14">#REF!</definedName>
    <definedName name="BEx3HMSEFOP6DBM4R97XA6B7NFG6">#REF!</definedName>
    <definedName name="BExXRZ20LZZCW8LVGDK0XETOTSAI">#REF!</definedName>
    <definedName name="BEx7KXUGRMRSUXCM97Z7VRZQ9JH2">#REF!</definedName>
    <definedName localSheetId="1" name="BExU4D36E8TXN0M8KSNGEAFYP4DQ">#REF!</definedName>
    <definedName name="XREF_COLUMN_5">#REF!</definedName>
    <definedName localSheetId="1" name="XRefCopy11Row">#REF!</definedName>
    <definedName localSheetId="1" name="BEx3QVGG7Q2X4HZHJAM35A8T3VR7">#REF!</definedName>
    <definedName localSheetId="1" name="BExU6PAVKIOAIMQ9XQIHHF1SUAGO">#REF!</definedName>
    <definedName localSheetId="1" name="BExF52GTGP8MHGII4KJ8TJGR8W8U">#REF!</definedName>
    <definedName localSheetId="1" name="BExW0386REQRCQCVT9BCX80UPTRY">#REF!</definedName>
    <definedName name="BExY2IRURL9LQPALZ2F8LX87PIDT">#REF!</definedName>
    <definedName name="BExB58U5FQC5JWV9CGC83HLLZUZI">#REF!</definedName>
    <definedName name="BExCX4NZ2N1OUGXM7EV0U7VULJMM">#REF!</definedName>
    <definedName name="BExU0BFJJQO1HJZKI14QGOQ6JROO">#REF!</definedName>
    <definedName localSheetId="1" name="BExS318UV9I2FXPQQWUKKX00QLPJ">#REF!</definedName>
    <definedName localSheetId="1" name="XRefCopy37Row">#REF!</definedName>
    <definedName name="BEx73V0EP8EMNRC3EZJJKKVKWQVB">#REF!</definedName>
    <definedName localSheetId="1" name="BExD0LCCDPG16YLY5WQSZF1XI5DA">#REF!</definedName>
    <definedName localSheetId="1" name="BExAZLHLST9OP89R1HJMC1POQG8H">#REF!</definedName>
    <definedName localSheetId="1" name="BExB4ADD0L7417CII901XTFKXD1J">#REF!</definedName>
    <definedName name="BExH2WKXV8X5S2GSBBTWGI0NLNAH">#REF!</definedName>
    <definedName name="XRefPaste32Row">#REF!</definedName>
    <definedName localSheetId="1" name="BEx3HMSEFOP6DBM4R97XA6B7NFG6">#REF!</definedName>
    <definedName localSheetId="1" name="BExGYOS6TV2C72PLRFU8RP1I58GY">#REF!</definedName>
    <definedName name="XRefCopy47">#REF!</definedName>
    <definedName localSheetId="1" name="BExOOIULUDOJRMYABWV5CCL906X6">#REF!</definedName>
    <definedName localSheetId="1" name="BExS2DF6B4ZUF3VZLI4G6LJ3BF38">#REF!</definedName>
    <definedName name="BEx942UCRHMI4B0US31HO95GSC2X">#REF!</definedName>
    <definedName localSheetId="1" name="BEx3R81NFRO7M81VHVKOBFT0QBIL">#REF!</definedName>
    <definedName localSheetId="1" name="BEx7JV194190CNM6WWGQ3UBJ3CHH">#REF!</definedName>
    <definedName localSheetId="1" name="BEx1H6KIT7BHUH6MDDWC935V9N47">#REF!</definedName>
    <definedName localSheetId="1" name="BExMKBGQDUZ8AWXYHA3QVMSDVZ3D">#REF!</definedName>
    <definedName name="BExB5G6EH68AYEP1UT0GHUEL3SLN">#REF!</definedName>
    <definedName name="BEx5CAPTVN2NBT3UOMA1UFAL1C2R">#REF!</definedName>
    <definedName localSheetId="1" name="XREF_COLUMN_13">#REF!</definedName>
    <definedName name="XRefCopy143">#REF!</definedName>
    <definedName name="BEx7E2QT2U8THYOKBPXONB1B47WH">#REF!</definedName>
    <definedName name="BExOB9KT2THGV4SPLDVFTFXS4B14">#REF!</definedName>
    <definedName name="BEx1X3LHU9DPG01VWX2IF65TRATF">#REF!</definedName>
    <definedName localSheetId="1" name="BExF3QT8J6RIF1L3R700MBSKIOKW">#REF!</definedName>
    <definedName localSheetId="1" name="BExSD6A6NY15YSMFH51ST6XJY429">#REF!</definedName>
    <definedName name="BExUE5OMY7OAJQ9WR8C8HG311ORP">#REF!</definedName>
    <definedName name="BEx9IZR39NHDGOM97H4E6F81RTQW">#REF!</definedName>
    <definedName name="BExF6EV7I35NVMIJGYTB6E24YVPA">#REF!</definedName>
    <definedName name="Summary">#REF!</definedName>
    <definedName name="BExKULEKJLA77AUQPDUHSM94Y76Z">#REF!</definedName>
    <definedName localSheetId="1" name="BExKSA37DZTCK6H13HPIKR0ZFVL8">#REF!</definedName>
    <definedName name="BExW8T0GVY3ZYO4ACSBLHS8SH895">#REF!</definedName>
    <definedName localSheetId="1" name="_16__123Graph_ACHART_8">#REF!</definedName>
    <definedName localSheetId="1" name="BExCXQUFBMXQ1650735H48B1AZT3">#REF!</definedName>
    <definedName name="BExON41U4296DV3DPG6I5EF3OEYF">#REF!</definedName>
    <definedName localSheetId="1" name="BExIPKNFUDPDKOSH5GHDVNA8D66S">#REF!</definedName>
    <definedName name="XRefPaste121">#REF!</definedName>
    <definedName localSheetId="1" name="BExZVPYGX2C5OSHMZ6F0KBKZ6B1S">#REF!</definedName>
    <definedName name="BExKEKXK6E6QX339ELPXDIRZSJE0">#REF!</definedName>
    <definedName localSheetId="1" name="BExXSTBS08WIA9TLALV3UQ2Z3MRG">#REF!</definedName>
    <definedName name="XRefPaste42">#REF!</definedName>
    <definedName localSheetId="1" name="BExZUYDULCX65H9OZ9JHPBNKF3MI">#REF!</definedName>
    <definedName localSheetId="1" name="BEx978KSD61YJH3S9DGO050R2EHA">#REF!</definedName>
    <definedName localSheetId="1" name="XREF_COLUMN_25">#REF!</definedName>
    <definedName name="BExVWYU8EK669NP172GEIGCTVPPA">#REF!</definedName>
    <definedName name="BExETAZOYT4CJIT8RRKC9F2HJG1D">#REF!</definedName>
    <definedName name="BEx3BYP0FG369M7G3JEFLMMXAKTS">#REF!</definedName>
    <definedName localSheetId="1" name="BExGXDVP2S2Y8Z8Q43I78RCIK3DD">#REF!</definedName>
    <definedName name="BEx98IFKNJFGZFLID1YTRFEG1SXY">#REF!</definedName>
    <definedName name="BExOMKPURE33YQ3K1JG9NVQD4W49">#REF!</definedName>
    <definedName name="BExD9M7SEMG0JK2FUTTZXWIEBTKB">#REF!</definedName>
    <definedName name="BExQ7JNFIEGS2HKNBALH3Q2N5G7Z">#REF!</definedName>
    <definedName name="BExGTZ046J7VMUG4YPKFN2K8TWB7">#REF!</definedName>
    <definedName localSheetId="1" name="BEx99ZRZ4I7FHDPGRAT5VW7NVBPU">#REF!</definedName>
    <definedName localSheetId="1" name="BExVWYU8EK669NP172GEIGCTVPPA">#REF!</definedName>
    <definedName localSheetId="1" name="BExF3Q7NI90WT31QHYSJDIG0LLLJ">#REF!</definedName>
    <definedName name="BExSEP9UVOAI6TMXKNK587PQ3328">#REF!</definedName>
    <definedName name="XREF_COLUMN_22">#REF!</definedName>
    <definedName name="XRefCopy49Row">#REF!</definedName>
    <definedName localSheetId="1" name="_46__123Graph_EOP75_25PRICE">#REF!</definedName>
    <definedName localSheetId="1" name="BExCW13R0GWJYGXZBNCPAHQN4NR2">#REF!</definedName>
    <definedName name="BExU42QVGY7TK39W1BIN6CDRG2OE">#REF!</definedName>
    <definedName localSheetId="1" name="BExS8GSUS17UY50TEM2AWF36BR9Z">#REF!</definedName>
    <definedName name="BExKGFRN31B3G20LMQ4LRF879J68">#REF!</definedName>
    <definedName name="XRefCopy16Row">#REF!</definedName>
    <definedName localSheetId="1" name="BEx7ABA2C9IWH5VSLVLLLCY62161">#REF!</definedName>
    <definedName name="XRefCopy117">#REF!</definedName>
    <definedName localSheetId="1" name="BExY5SUZN9AM2SA11J2I9PAZ6PD2">#REF!</definedName>
    <definedName localSheetId="1" name="BExD93C1R6LC0631ECHVFYH0R0PD">#REF!</definedName>
    <definedName localSheetId="1" name="XRefPaste119">#REF!</definedName>
    <definedName localSheetId="1" name="BExH3E9HZ3QJCDZW7WI7YACFQCHE">#REF!</definedName>
    <definedName localSheetId="1" name="BExB2CJHTU7C591BR4WRL5L2F2K6">#REF!</definedName>
    <definedName localSheetId="1" name="BExQ3TZF04IPY0B0UG9CQQ5736UA">#REF!</definedName>
    <definedName name="BExMBFTZV4Q1A5KG25C1N9PHQNSW">#REF!</definedName>
    <definedName localSheetId="1" name="BExEYOW8C1B3OUUCIGEC7L8OOW1Z">#REF!</definedName>
    <definedName name="BExRZ66M8G9FQ0VFP077QSZBSOA5">#REF!</definedName>
    <definedName name="BExZQJJMGU5MHQOILGXGJPAQI5XI">#REF!</definedName>
    <definedName name="BExB0WE4PI3NOBXXVO9CTEN4DIU2">#REF!</definedName>
    <definedName localSheetId="1" name="XRefPaste12">#REF!</definedName>
    <definedName localSheetId="1" name="BExF3NTC4BGZEM6B87TCFX277QCS">#REF!</definedName>
    <definedName localSheetId="1" name="BEx9581TYVI2M5TT4ISDAJV4W7Z6">#REF!</definedName>
    <definedName localSheetId="1" name="BExQA324HSCK40ENJUT9CS9EC71B">#REF!</definedName>
    <definedName name="BExXMA28M8SH7MKIGETSDA72WUIZ">#REF!</definedName>
    <definedName localSheetId="1" name="XRefPaste57">#REF!</definedName>
    <definedName localSheetId="1" name="BEx9H5O1KDZJCW91Q29VRPY5YS6P">#REF!</definedName>
    <definedName name="BExGTIYX3OWPIINOGY1E4QQYSKHP">#REF!</definedName>
    <definedName name="BExGMCXCWEC9XNUOEMZ61TMI6CUO">#REF!</definedName>
    <definedName name="_46__123Graph_EOP75_25PRICE">#REF!</definedName>
    <definedName localSheetId="1" name="XRefPaste70Row">#REF!</definedName>
    <definedName localSheetId="1" name="BEx7EBA8IYHQKT7IQAOAML660SYA">#REF!</definedName>
    <definedName name="BExQ8A0RPE3IMIFIZLUE7KD2N21W">#REF!</definedName>
    <definedName name="BExF3A6HPA6DGYALZNHHJPMCUYZR">#REF!</definedName>
    <definedName name="BEx92DPEKL5WM5A3CN8674JI0PR3">#REF!</definedName>
    <definedName localSheetId="1" name="XRefPaste103">#REF!</definedName>
    <definedName name="BExS2QB5FS5LYTFYO4BROTWG3OV5">#REF!</definedName>
    <definedName name="BExOFO47X8LEG1XBEQA1SUQN1EUE">#REF!</definedName>
    <definedName localSheetId="1" name="BEx3M9VFX329PZWYC4DMZ6P3W9R2">#REF!</definedName>
    <definedName localSheetId="1" name="XREF_COLUMN_7">#REF!</definedName>
    <definedName name="BEx5E123OLO9WQUOIRIDJ967KAGK">#REF!</definedName>
    <definedName localSheetId="1" name="BExMMV0P6P5YS3C35G0JYYHI7992">#REF!</definedName>
    <definedName name="BEx02SEL3Z1QWGAHXDPUA9WLTTPS">#REF!</definedName>
    <definedName name="XRefCopy56">#REF!</definedName>
    <definedName localSheetId="1" name="BExF37C1YKBT79Z9SOJAG5MXQGTU">#REF!</definedName>
    <definedName name="BExZTT6J3X0TOX0ZY6YPLUVMCW9X">#REF!</definedName>
    <definedName name="XRefPaste6">#REF!</definedName>
    <definedName name="BExB74PS5P9G0P09Y6DZSCX0FLTJ">#REF!</definedName>
    <definedName localSheetId="1" name="BExXYA2TV71TVGRUAK9VPY1EV5Q6">#REF!</definedName>
    <definedName localSheetId="1" name="BEx5A8UFLT2SWVSG5COFA9B8P376">#REF!</definedName>
    <definedName localSheetId="1" name="BExDA6LD9061UULVKUUI4QP8SK13">#REF!</definedName>
    <definedName name="BExGWEO0JDG84NYLEAV5NSOAGMJZ">#REF!</definedName>
    <definedName localSheetId="1" name="BExZQIHTGHK7OOI2Y2PN3JYBY82I">#REF!</definedName>
    <definedName localSheetId="1" name="BExB806PAXX70XUTA3ZI7OORD78R">#REF!</definedName>
    <definedName name="BExY2GTSZ3VA9TXLY7KW1LIAKJ61">#REF!</definedName>
    <definedName localSheetId="1" name="BExD0HALIN0JR4JTPGDEVAEE5EX5">#REF!</definedName>
    <definedName localSheetId="1" name="_Table2_In2">#REF!</definedName>
    <definedName name="XRefPaste25">#REF!</definedName>
    <definedName localSheetId="1" name="BExZV2QD5ZDK3AGDRULLA7JB46C3">#REF!</definedName>
    <definedName localSheetId="1" name="BExAZUS4A8OHDZK0MWAOCCCKTH73">#REF!</definedName>
    <definedName name="BExVY11V7U1SAY4QKYE0PBSPD7LW">#REF!</definedName>
    <definedName localSheetId="1" name="BEx77VBI9XOPFHKEWU5EHQ9J675Y">#REF!</definedName>
    <definedName name="BExF2QZYWHTYGUTTXR15CKCV3LS7">#REF!</definedName>
    <definedName localSheetId="1" name="BExME2U47N8LZG0BPJ49ANY5QVV2">#REF!</definedName>
    <definedName name="_28__123Graph_BCHART_3">#REF!</definedName>
    <definedName name="BEx3BW5CTV0DJU5AQS3ZQFK2VLF3">#REF!</definedName>
    <definedName name="BExH2ZA0SZ4SSITL50NA8LZ3OEX6">#REF!</definedName>
    <definedName localSheetId="1" name="BExZNV707LIU6Z5H6QI6H67LHTI1">#REF!</definedName>
    <definedName localSheetId="1" name="BExMPD2X55FFBVJ6CBUKNPROIOEU">#REF!</definedName>
    <definedName name="BExZNJYCFYVMAOI62GB2BABK1ELE">#REF!</definedName>
    <definedName name="XRefCopy72">#REF!</definedName>
    <definedName localSheetId="1" name="BEx3PP1RRSFZ8UC0JC9R91W6LNKW">#REF!</definedName>
    <definedName localSheetId="1" name="BExH2WKXV8X5S2GSBBTWGI0NLNAH">#REF!</definedName>
    <definedName name="BExGNYH0MO8NOVS85L15G0RWX4GW">#REF!</definedName>
    <definedName localSheetId="1" name="XRefPaste59">#REF!</definedName>
    <definedName name="XRefCopy77Row">#REF!</definedName>
    <definedName localSheetId="1" name="BExB30IP1DNKNQ6PZ5ERUGR5MK4Z">#REF!</definedName>
    <definedName name="BExKHAMUH8NR3HRV0V6FHJE3ROLN">#REF!</definedName>
    <definedName localSheetId="1" name="BExBA1GON0EZRJ20UYPILAPLNQWM">#REF!</definedName>
    <definedName localSheetId="1" name="BExW4JKC5837JBPCOJV337ZVYYY3">#REF!</definedName>
    <definedName name="BExESZ03KXL8DQ2591HLR56ZML94">#REF!</definedName>
    <definedName name="BExB5833OAOJ22VK1YK47FHUSVK2">#REF!</definedName>
    <definedName localSheetId="1" name="XRefPaste29Row">#REF!</definedName>
    <definedName localSheetId="1" name="BEx7IBVYN47SFZIA0K4MDKQZNN9V">#REF!</definedName>
    <definedName name="_Fill">#REF!</definedName>
    <definedName name="BExUD4IOJ12X3PJG5WXNNGDRCKAP">#REF!</definedName>
    <definedName name="BEx1OTE54CBSUT8FWKRALEDCUWN4">#REF!</definedName>
    <definedName localSheetId="1" name="XREF_COLUMN_33">#REF!</definedName>
    <definedName name="BExH12Y4WX542WI3ZEM15AK4UM9J">#REF!</definedName>
    <definedName name="BExU57YCIKPRD8QWL6EU0YR3NG3J">#REF!</definedName>
    <definedName localSheetId="1" name="BExQC94JL9F5GW4S8DQCAF4WB2DA">#REF!</definedName>
    <definedName name="BExW4Z029R9E19ZENN3WEA3VDAD1">#REF!</definedName>
    <definedName name="BEx1J7E8VCGLPYU82QXVUG5N3ZAI">#REF!</definedName>
    <definedName localSheetId="1" name="BExD5SSUIF6AJQHBHK8PNMFBPRYB">#REF!</definedName>
    <definedName localSheetId="1" name="XREF_COLUMN_35">#REF!</definedName>
    <definedName localSheetId="1" name="BExIX34PM5DBTRHRQWP6PL6WIX88">#REF!</definedName>
    <definedName localSheetId="1" name="BEx99WBYT2D6UUC1PT7A40ENYID4">#REF!</definedName>
    <definedName name="BExF3WYIGFTZZGWPIG2EF7GL8XHY">#REF!</definedName>
    <definedName name="BExRZIRRIXRUMZ5GOO95S7460BMP">#REF!</definedName>
    <definedName name="BExIZKVXYD5O2JBU81F2UFJZLLSI">#REF!</definedName>
    <definedName name="BExKFOSK5DJ151C4E8544UWMYTOC">#REF!</definedName>
    <definedName localSheetId="1" name="BEx5G1L0QO91KEPDMV1D8OT4BT73">#REF!</definedName>
    <definedName localSheetId="1" name="BExQ29C73XR33S3668YYSYZAIHTG">#REF!</definedName>
    <definedName localSheetId="1" name="BExKNZQUKQQG2Y97R74G4O4BJP1L">#REF!</definedName>
    <definedName localSheetId="1" name="BExMBK6ISK3U7KHZKUJXIDKGF6VW">#REF!</definedName>
    <definedName localSheetId="1" name="BExIQ1VS9A2FHVD9TUHKG9K8EVVP">#REF!</definedName>
    <definedName localSheetId="1" name="BEx5LTKQ8RQWJE4BC88OP928893U">#REF!</definedName>
    <definedName name="BExSGOAYG73SFWOPAQV80P710GID">#REF!</definedName>
    <definedName name="BExU1GXUTLRPJN4MRINLAPHSZQFG">#REF!</definedName>
    <definedName localSheetId="1" name="BExZZXB3JQQG4SIZS4MRU6NNW7HI">#REF!</definedName>
    <definedName localSheetId="1" name="XRefCopy123">#REF!</definedName>
    <definedName localSheetId="1" name="XRefCopy16Row">#REF!</definedName>
    <definedName name="XRefPaste32">#REF!</definedName>
    <definedName localSheetId="1" name="BExETAZOYT4CJIT8RRKC9F2HJG1D">#REF!</definedName>
    <definedName name="BEx1RRC7X4NI1CU4EO5XYE2GVARJ">#REF!</definedName>
    <definedName name="BExS2TLU1HONYV6S3ZD9T12D7CIG">#REF!</definedName>
    <definedName localSheetId="1" name="BExKUDM0DFSCM3D91SH0XLXJSL18">#REF!</definedName>
    <definedName localSheetId="1" name="BExAX8TNG8LQ5Q4904SAYQIPGBSV">#REF!</definedName>
    <definedName name="XRefCopy30Row">#REF!</definedName>
    <definedName name="BExD5SSUIF6AJQHBHK8PNMFBPRYB">#REF!</definedName>
    <definedName name="BEx7D5RWKRS4W71J4NZ6ZSFHPKFT">#REF!</definedName>
    <definedName name="BEx9D1BC9FT19KY0INAABNDBAMR1">#REF!</definedName>
    <definedName localSheetId="1" name="BEx1JGE2YQWH8S25USOY08XVGO0D">#REF!</definedName>
    <definedName localSheetId="1" name="XRefPaste108Row">#REF!</definedName>
    <definedName localSheetId="1" name="BExON41U4296DV3DPG6I5EF3OEYF">#REF!</definedName>
    <definedName name="BExF63S045JO7H2ZJCBTBVH3SUIF">#REF!</definedName>
    <definedName name="BExQ42IU9MNDYLODP41DL6YTZMAR">#REF!</definedName>
    <definedName name="BExMFLDTMRTCHKA37LQW67BG8D5C">#REF!</definedName>
    <definedName name="BExZMF1MMTZ1TA14PZ8ASSU2CBSP">#REF!</definedName>
    <definedName localSheetId="1" name="BEx3GCXR6IAS0B6WJ03GJVH7CO52">#REF!</definedName>
    <definedName name="BExQH9P2MCXAJOVEO4GFQT6MNW22">#REF!</definedName>
    <definedName localSheetId="1" name="XREF_COLUMN_20">#REF!</definedName>
    <definedName localSheetId="1" name="BExSGLB2URTLBCKBB4Y885W925F2">#REF!</definedName>
    <definedName name="BEx3JC2TY7JNAAC3L7QHVPQXLGQ8">#REF!</definedName>
    <definedName name="BExMHSSYC6KVHA3QDTSYPN92TWMI">#REF!</definedName>
    <definedName name="BEx3FHMD1P5XBCH23ZKIFO6ZTCNB">#REF!</definedName>
    <definedName name="BExIKMMJOETSAXJYY1SIKM58LMA2">#REF!</definedName>
    <definedName name="_16__123Graph_ACHART_8">#REF!</definedName>
    <definedName localSheetId="1" name="BEx9ETLU0EK5LGEM1QCNYN2S8O5F">#REF!</definedName>
    <definedName localSheetId="1" name="BExU529I6YHVOG83TJHWSILIQU1S">#REF!</definedName>
    <definedName localSheetId="1" name="XRefPaste71">#REF!</definedName>
    <definedName localSheetId="1" name="BExEVNCUT0PDUYNJH7G6BSEWZOT2">#REF!</definedName>
    <definedName name="BExIQ1VS9A2FHVD9TUHKG9K8EVVP">#REF!</definedName>
    <definedName name="BExSBRBXXQMBU1TYDW1BXTEVEPRU">#REF!</definedName>
    <definedName name="BEx5MB9BR71LZDG7XXQ2EO58JC5F">#REF!</definedName>
    <definedName name="BExMJTBV8A3D31W2IQHP9RDFPPHQ">#REF!</definedName>
    <definedName localSheetId="1" name="BEx5CSUOL05D8PAM2TRDA9VRJT1O">#REF!</definedName>
    <definedName name="BExU8KFLAN778MBN93NYZB0FV30G">#REF!</definedName>
    <definedName name="BExMF9UIGYMOAQK0ELUWP0S0HZZY">#REF!</definedName>
    <definedName localSheetId="1" name="BExEQBZX0EL6LIKPY01197ACK65H">#REF!</definedName>
    <definedName name="XRefPaste99">#REF!</definedName>
    <definedName localSheetId="1" name="BEx992CZON8AO7U7V88VN1JBO0MG">#REF!</definedName>
    <definedName name="BExCV634L7SVHGB0UDDTRRQ2Q72H">#REF!</definedName>
    <definedName localSheetId="1" name="BExEWNBGQS1U2LW3W84T4LSJ9K00">#REF!</definedName>
    <definedName name="BExBD53Q6MSBM2HROZ1FCZLJBTGB">#REF!</definedName>
    <definedName name="BExMD5F6IAV108XYJLXUO9HD0IT6">#REF!</definedName>
    <definedName name="BExAX8TNG8LQ5Q4904SAYQIPGBSV">#REF!</definedName>
    <definedName localSheetId="1" name="_Table2_In1">#REF!</definedName>
    <definedName localSheetId="1" name="BExB2Q0VJ0MU2URO3JOVUAVHEI3V">#REF!</definedName>
    <definedName name="BEx7JH3HGBPI07OHZ5LFYK0UFZQR">#REF!</definedName>
    <definedName name="BExZUSZT5496UMBP4LFSLTR1GVEW">#REF!</definedName>
    <definedName name="BEx5BBI61U4Y65GD0ARMTALPP7SJ">#REF!</definedName>
    <definedName localSheetId="1" name="BExSCHUQZ2HFEWS54X67DIS8OSXZ">#REF!</definedName>
    <definedName name="XRefCopy15">#REF!</definedName>
    <definedName name="BEx7MT4MFNXIVQGAT6D971GZW7CA">#REF!</definedName>
    <definedName localSheetId="1" name="BExKIU87ZKSOC2DYZWFK6SAK9I8E">#REF!</definedName>
    <definedName localSheetId="1" name="BExSD2U0F3BN6IN9N4R2DTTJG15H">#REF!</definedName>
    <definedName name="BEx7ETV6L1TM7JSXJIGK3FC6RVZW">#REF!</definedName>
    <definedName name="XREF_COLUMN_23">#REF!</definedName>
    <definedName name="XREF_COLUMN_35">#REF!</definedName>
    <definedName localSheetId="1" name="BEx1UML0HHJFHA5TBOYQ24I3RV1W">#REF!</definedName>
    <definedName name="BExMAXJS82ZJ8RS22VLE0V0LDUII">#REF!</definedName>
    <definedName localSheetId="1" name="BExMMTIXETA5VAKBSOFDD5SRU887">#REF!</definedName>
    <definedName name="_44__123Graph_XCHART_11">#REF!</definedName>
    <definedName localSheetId="1" name="BExQ84MJB94HL3BWRN50M4NCB6Z0">#REF!</definedName>
    <definedName name="BExZN2F7Y2J2L2LN5WZRG949MS4A">#REF!</definedName>
    <definedName localSheetId="1" name="BExGNSS0CKRPKHO25R3TDBEL2NHX">#REF!</definedName>
    <definedName name="BExQ7IWDCGGOO1HTJ97YGO1CK3R9">#REF!</definedName>
    <definedName name="XRefCopy144">#REF!</definedName>
    <definedName name="BExBCKKJTIRKC1RZJRTK65HHLX4W">#REF!</definedName>
    <definedName name="BExMQ4SWDWI4N16AZ0T5CJ6HH8WC">#REF!</definedName>
    <definedName name="BExMIZT6AN7E6YMW2S87CTCN2UXH">#REF!</definedName>
    <definedName name="BEx7HGVBEF4LEIF6RC14N3PSU461">#REF!</definedName>
    <definedName localSheetId="1" name="BExIV0I2O9F8D1UK1SI8AEYR6U0A">#REF!</definedName>
    <definedName name="BExINMYYJO1FTV1CZF6O5XCFAMQX">#REF!</definedName>
    <definedName name="BEx1P1HHKJA799O3YZXQAX6KFH58">#REF!</definedName>
    <definedName name="BExODEWDDEABM4ZY3XREJIBZ8IVP">#REF!</definedName>
    <definedName name="BExU16R10W1SOAPNG4CDJ01T7JRE">#REF!</definedName>
    <definedName name="BExMJNC8ZFB9DRFOJ961ZAJ8U3A8">#REF!</definedName>
    <definedName localSheetId="1" name="BExUAFV4JMBSM2SKBQL9NHL0NIBS">#REF!</definedName>
    <definedName name="BEx3Q8J42S9VU6EAN2Y28MR6DF88">#REF!</definedName>
    <definedName name="BEx3NR2I4OUFP3Z2QZEDU2PIFIDI">#REF!</definedName>
    <definedName name="BExKO438WZ8FKOU00NURGFMOYXWN">#REF!</definedName>
    <definedName name="BExGMZ3UBN48IXU1ZEFYECEMZ1IM">#REF!</definedName>
    <definedName name="BExMMNIZ2T7M22WECMUQXEF4NJ71">#REF!</definedName>
    <definedName name="BExU0GDOIL9U33QGU9ZU3YX3V1I4">#REF!</definedName>
    <definedName localSheetId="1" name="XRefCopy67Row">#REF!</definedName>
    <definedName name="_57__123Graph_XCHART_11">#REF!</definedName>
    <definedName localSheetId="1" name="BExGQX0H4EZMXBJTKJJE4ICJWN5O">#REF!</definedName>
    <definedName name="BExZK3FGPHH5H771U7D5XY7XBS6E">#REF!</definedName>
    <definedName name="BExQH6ZZY0NR8SE48PSI9D0CU1TC">#REF!</definedName>
    <definedName localSheetId="1" name="BExIJRLX3M0YQLU1D5Y9V7HM5QNM">#REF!</definedName>
    <definedName localSheetId="1" name="BExXNPM24UN2PGVL9D1TUBFRIKR4">#REF!</definedName>
    <definedName name="BExW4217ZHL9VO39POSTJOD090WU">#REF!</definedName>
    <definedName name="BEx3IYAH2DEBFWO8F94H4MXE3RLY">#REF!</definedName>
    <definedName name="BExON0AX35F2SI0UCVMGWGVIUNI3">#REF!</definedName>
    <definedName name="BExZRGD1603X5ACFALUUDKCD7X48">#REF!</definedName>
    <definedName name="BEx5FQNA6V4CNYSH013K45RI4BCV">#REF!</definedName>
    <definedName localSheetId="1" name="BExZM7JVLG0W8EG5RBU915U3SKBY">#REF!</definedName>
    <definedName localSheetId="1" name="BExKINSBB6RS7I489QHMCOMU4Z2X">#REF!</definedName>
    <definedName localSheetId="1" name="BExIXGRJPVJMUDGSG7IHPXPNO69B">#REF!</definedName>
    <definedName localSheetId="1" name="BExIV2LM38XPLRTWT0R44TMQ59E5">#REF!</definedName>
    <definedName localSheetId="1" name="BEx01PW5YQKEGAR8JDDI5OARYXDF">#REF!</definedName>
    <definedName localSheetId="1" name="BExVY954UOEVQEIC5OFO4NEWVKAQ">#REF!</definedName>
    <definedName localSheetId="1" name="BExB10QNIVITUYS55OAEKK3VLJFE">#REF!</definedName>
    <definedName localSheetId="1" name="XRefCopy146">#REF!</definedName>
    <definedName localSheetId="1" name="BExXV6FWG4H3S2QEUJZYIXILNGJ7">#REF!</definedName>
    <definedName localSheetId="1" name="BEx3K4ZXQUQ2KYZF74B84SO48XMW">#REF!</definedName>
    <definedName localSheetId="1" name="BExBA93PE0DGUUTA7LLSIGBIXWE5">#REF!</definedName>
    <definedName localSheetId="1" name="XRefCopy115">#REF!</definedName>
    <definedName name="BExOO4B8FPAFYPHCTYTX37P1TQM5">#REF!</definedName>
    <definedName localSheetId="1" name="BExD71LTOE015TV5RSAHM8NT8GVW">#REF!</definedName>
    <definedName localSheetId="1" name="BExSGZJO4J4ZO04E2N2ECVYS9DEZ">#REF!</definedName>
    <definedName name="BExUBKXBUCN760QYU7Q8GESBWOQH">#REF!</definedName>
    <definedName name="BEx3PKJZ1Z7L9S6KV8KXVS6B2FX4">#REF!</definedName>
    <definedName name="BExAYTGVRD3DLKO75RFPMBKCIWB8">#REF!</definedName>
    <definedName localSheetId="1" name="BExU2TXVT25ZTOFQAF6CM53Z1RLF">#REF!</definedName>
    <definedName localSheetId="1" name="BExQFVSPOSCCPF1TLJPIWYWYB8A9">#REF!</definedName>
    <definedName localSheetId="1" name="BExBDKOMSVH4XMH52CFJ3F028I9R">#REF!</definedName>
    <definedName name="BExKVG4KGO28KPGTAFL1R8TTZ10N">#REF!</definedName>
    <definedName localSheetId="1" name="BExKMWBX4EH3EYJ07UFEM08NB40Z">#REF!</definedName>
    <definedName localSheetId="1" name="BExKVCOENE32B7NRLY7CVN0R6SGL">#REF!</definedName>
    <definedName name="BEx5CSUOL05D8PAM2TRDA9VRJT1O">#REF!</definedName>
    <definedName localSheetId="1" name="XRefPaste107Row">#REF!</definedName>
    <definedName name="BExY6KVS1MMZ2R34PGEFR2BMTU9W">#REF!</definedName>
    <definedName name="BExS9C9N8GFISC6HUERJ0EI06GB2">#REF!</definedName>
    <definedName localSheetId="1" name="BExTZO2596CBZKPI7YNA1QQNPAIJ">#REF!</definedName>
    <definedName localSheetId="1" name="BExTZK5PMCAXJL4DUIGL6H9Y8U4C">#REF!</definedName>
    <definedName localSheetId="1" name="BExW1BVUYQTKMOR56MW7RVRX4L1L">#REF!</definedName>
    <definedName name="BExAZMDYMIAA7RX1BMCKU1VLBRGY">#REF!</definedName>
    <definedName name="BExQ6CN1EF2UPZ57ZYMGK8TUJQSS">#REF!</definedName>
    <definedName name="BEx79YJJLBELICW9F9FRYSCQ101L">#REF!</definedName>
    <definedName localSheetId="1" name="BEx9BAJ5WYEQ623HUT9NNCMP3RUG">#REF!</definedName>
    <definedName name="BEx1UUDIQPZ23XQ79GUL0RAWRSCK">#REF!</definedName>
    <definedName localSheetId="1" name="XRefPaste13Row">#REF!</definedName>
    <definedName name="BEx75PZT8TY5P13U978NVBUXKHT4">#REF!</definedName>
    <definedName name="BEx1JUBQFRVMASSFK4B3V0AD7YP9">#REF!</definedName>
    <definedName localSheetId="1" name="_50__123Graph_FOP75_25PRICE">#REF!</definedName>
    <definedName name="BExF4HXSWB50BKYPWA0HTT8W56H6">#REF!</definedName>
    <definedName localSheetId="1" name="BEx7L8XOV64OMS15ZFURFEUXLMWF">#REF!</definedName>
    <definedName name="BExY2Q4B5FUDA5VU4VRUHX327QN0">#REF!</definedName>
    <definedName localSheetId="1" name="BExSGE9LY91Q0URHB4YAMX0UAMYI">#REF!</definedName>
    <definedName name="XREF_COLUMN_7">#REF!</definedName>
    <definedName localSheetId="1" name="_36__123Graph_CO_MPRICE">#REF!</definedName>
    <definedName name="BExCS7ZPMHFJ4UJDAL8CQOLSZ13B">#REF!</definedName>
    <definedName localSheetId="1" name="BExU0ZUUFYHLUK4M4E8GLGIBBNT0">#REF!</definedName>
    <definedName localSheetId="1" name="XREF_COLUMN_26">#REF!</definedName>
    <definedName localSheetId="1" name="BExKFINBFV5J2NFRCL4YUO3YF0ZE">#REF!</definedName>
    <definedName localSheetId="1" name="BExXMOLHIAHDLFSA31PUB36SC3I9">#REF!</definedName>
    <definedName localSheetId="1" name="BExB719SGNX4Y8NE6JEXC555K596">#REF!</definedName>
    <definedName localSheetId="1" name="BExZY49QRZIR6CA41LFA9LM6EULU">#REF!</definedName>
    <definedName name="BExMQSBR7PL4KLB1Q4961QO45Y4G">#REF!</definedName>
    <definedName localSheetId="1" name="BEx7ETV6L1TM7JSXJIGK3FC6RVZW">#REF!</definedName>
    <definedName localSheetId="1" name="XRefCopy3Row">#REF!</definedName>
    <definedName localSheetId="1" name="BExKULEKJLA77AUQPDUHSM94Y76Z">#REF!</definedName>
    <definedName name="BExXXPPA1Q87XPI97X0OXCPBPDON">#REF!</definedName>
    <definedName name="BEx7L8HEYEVTATR0OG5JJO647KNI">#REF!</definedName>
    <definedName localSheetId="1" name="BExIVQVKLMGSRYT1LFZH0KUIA4OR">#REF!</definedName>
    <definedName name="BExKDLF10G7W77J87QWH3ZGLUCLW">#REF!</definedName>
    <definedName name="BEx5OAFS0NJ2CB86A02E1JYHMLQ1">#REF!</definedName>
    <definedName name="BEx3PDNRRNKD5GOUBUQFXAHIXLD9">#REF!</definedName>
    <definedName localSheetId="1" name="BExQ5039ZCEWBUJHU682G4S89J03">#REF!</definedName>
    <definedName name="BExH31Z3JNVJPESWKXHILGXZHP2M">#REF!</definedName>
    <definedName name="BExKLD6S9L66QYREYHBE5J44OK7X">#REF!</definedName>
    <definedName localSheetId="1" name="BExOJM0W6XGSW5MXPTTX0GNF6SFT">#REF!</definedName>
    <definedName name="BEx3UJMIX2NUSSWGMSI25A5DM4CH">#REF!</definedName>
    <definedName name="__123Graph_A2">#REF!</definedName>
    <definedName localSheetId="1" name="BExH1JFFHEBFX9BWJMNIA3N66R3Z">#REF!</definedName>
    <definedName localSheetId="1" name="XRefCopy82Row">#REF!</definedName>
    <definedName name="BExOGFE2SCL8HHT4DFAXKLUTJZOG">#REF!</definedName>
    <definedName localSheetId="1" name="BExOC3UEHB1CZNINSQHZANWJYKR8">#REF!</definedName>
    <definedName name="BEx01HY6E3GJ66ABU5ABN26V6Q13">#REF!</definedName>
    <definedName name="BEx3ORSBUXAF21MKEY90YJV9AY9A">#REF!</definedName>
    <definedName localSheetId="1" name="BEx02Q08R9G839Q4RFGG9026C7PX">#REF!</definedName>
    <definedName localSheetId="1" name="BEx95U89DZZSVO39TGS62CX8G9N4">#REF!</definedName>
    <definedName name="BExKO2FXWJWC5IZLDN8JHYILQJ2N">#REF!</definedName>
    <definedName name="BExIJVI6OC7B6ZE9V4PAOYZXKNER">#REF!</definedName>
    <definedName localSheetId="1" name="BExO89ZIOXN0HOKHY24F7HDZ87UT">#REF!</definedName>
    <definedName name="BEx1M1WBK5T0LP1AK2JYV6W87ID6">#REF!</definedName>
    <definedName name="BExIN4OR435DL1US13JQPOQK8GD5">#REF!</definedName>
    <definedName name="_28__123Graph_BCHART_8">#REF!</definedName>
    <definedName localSheetId="1" name="BEx1MTRKKVCHOZ0YGID6HZ49LJTO">#REF!</definedName>
    <definedName localSheetId="1" name="BEx9D1BC9FT19KY0INAABNDBAMR1">#REF!</definedName>
    <definedName localSheetId="1" name="BExKQQ71278061G7ZFYGPWOMOMY2">#REF!</definedName>
    <definedName name="BExY50JAF5CG01GTHAUS7I4ZLUDC">#REF!</definedName>
    <definedName name="BExQIAPKHVEV8CU1L3TTHJW67FJ5">#REF!</definedName>
    <definedName localSheetId="1" name="BExCVI86R31A2IOZIEBY1FJLVILD">#REF!</definedName>
    <definedName name="BExXWBNE4KTFSXKVSRF6WX039WPB">#REF!</definedName>
    <definedName localSheetId="1" name="BEx78SFO5VR28677DWZEMDN7G86X">#REF!</definedName>
    <definedName name="BEx9602K2GHNBUEUVT9ONRQU1GMD">#REF!</definedName>
    <definedName localSheetId="1" name="BExEX9HWY2G6928ZVVVQF77QCM2C">#REF!</definedName>
    <definedName name="BExU73387E74XE8A9UKZLZNJYY65">#REF!</definedName>
    <definedName name="XRefCopy119">#REF!</definedName>
    <definedName name="BExZWX45URTK9KYDJHEXL1OTZ833">#REF!</definedName>
    <definedName name="BExVVCEED4JEKF59OV0G3T4XFMFO">#REF!</definedName>
    <definedName localSheetId="1" name="BExCUDRJO23YOKT8GPWOVQ4XEHF5">#REF!</definedName>
    <definedName name="BExVXDZ63PUART77BBR5SI63TPC6">#REF!</definedName>
    <definedName localSheetId="1" name="BExRZIRRIXRUMZ5GOO95S7460BMP">#REF!</definedName>
    <definedName name="BEx962BL3Y4LA53EBYI64ZYMZE8U">#REF!</definedName>
    <definedName name="BExBBV8XVMD9CKZY711T0BN7H3PM">#REF!</definedName>
    <definedName localSheetId="1" name="BExKH3FTZ5VGTB86W9M4AB39R0G8">#REF!</definedName>
    <definedName localSheetId="1" name="BExKV08R85MKI3MAX9E2HERNQUNL">#REF!</definedName>
    <definedName name="BExKFISRBFACTAMJSALEYMY66F6X">#REF!</definedName>
    <definedName localSheetId="1" name="BExQHPKXZ1K33V2F90NZIQRZYIAW">#REF!</definedName>
    <definedName name="BExXQ89PA10X79WBWOEP1AJX1OQM">#REF!</definedName>
    <definedName name="BEx99ZRZ4I7FHDPGRAT5VW7NVBPU">#REF!</definedName>
    <definedName name="BExZPQ0XY507N8FJMVPKCTK8HC9H">#REF!</definedName>
    <definedName localSheetId="1" name="BExY6KVS1MMZ2R34PGEFR2BMTU9W">#REF!</definedName>
    <definedName name="BExIV2LM38XPLRTWT0R44TMQ59E5">#REF!</definedName>
    <definedName name="BExEW8HFKH6F47KIHYBDRUEFZ2ZZ">#REF!</definedName>
    <definedName localSheetId="1" name="BExQ5UICMGTMK790KTLK49MAGXRC">#REF!</definedName>
    <definedName localSheetId="1" name="BExMKGK5FJUC0AU8MABRGDC5ZM70">#REF!</definedName>
    <definedName localSheetId="1" name="BExIJVI6OC7B6ZE9V4PAOYZXKNER">#REF!</definedName>
    <definedName name="XRefPaste137Row">#REF!</definedName>
    <definedName name="BExD7JQOJ35HGL8U2OCEI2P2JT7I">#REF!</definedName>
    <definedName localSheetId="1" name="XRefCopy53Row">#REF!</definedName>
    <definedName localSheetId="1" name="BExOIHPQIXR0NDR5WD01BZKPKEO3">#REF!</definedName>
    <definedName localSheetId="1" name="BExQ8ABK6H1ADV2R2OYT8NFFYG2N">#REF!</definedName>
    <definedName localSheetId="1" name="BEx92ER2RMY93TZK0D9L9T3H0GI5">#REF!</definedName>
    <definedName name="BExEPYT6VDSMR8MU2341Q5GM2Y9V">#REF!</definedName>
    <definedName localSheetId="1" name="BEx7DKWUXEDIISSX4GDD4YYT887F">#REF!</definedName>
    <definedName name="BExSEEHK1VLWD7JBV9SVVVIKQZ3I">#REF!</definedName>
    <definedName localSheetId="1" name="BEx3AZH9W4SUFCAHNDOQ728R9V4L">#REF!</definedName>
    <definedName name="BExXUFRM82XQIN2T8KGLDQL1IBQW">#REF!</definedName>
    <definedName localSheetId="1" name="BExZOBO9NYLGVJQ31LVQ9XS2ZT4N">#REF!</definedName>
    <definedName localSheetId="1" name="BExW660AV1TUV2XNUPD65RZR3QOO">#REF!</definedName>
    <definedName localSheetId="1" name="BExIQ5S19ITB0NDRUN4XV7B905ED">#REF!</definedName>
    <definedName name="BExKHCFKOWFHO2WW0N7Y5XDXEWAO">#REF!</definedName>
    <definedName name="BEx921PNZ46VORG2VRMWREWIC0SE">#REF!</definedName>
    <definedName localSheetId="1" name="BEx7H0JD6I5I8WQLLWOYWY5YWPQE">#REF!</definedName>
    <definedName localSheetId="1" name="XRefPaste62Row">#REF!</definedName>
    <definedName name="BExF3QT8J6RIF1L3R700MBSKIOKW">#REF!</definedName>
    <definedName localSheetId="1" name="BEx1F0SOZ3H5XUHXD7O01TCR8T6J">#REF!</definedName>
    <definedName name="BEx9H5O1KDZJCW91Q29VRPY5YS6P">#REF!</definedName>
    <definedName name="BEx9915UVD4G7RA3IMLFZ0LG3UA2">#REF!</definedName>
    <definedName name="BExKDKO0W4AGQO1V7K6Q4VM750FT">#REF!</definedName>
    <definedName name="BExS0ASQBKRTPDWFK0KUDFOS9LE5">#REF!</definedName>
    <definedName name="BExZMXH39OB0I43XEL3K11U3G9PM">#REF!</definedName>
    <definedName localSheetId="1" name="BExM9OG182RP30MY23PG49LVPZ1C">#REF!</definedName>
    <definedName name="BEx7FCLG1RYI2SNOU1Y2GQZNZSWA">#REF!</definedName>
    <definedName localSheetId="1" name="BEx9B8VR20E2CILU4CDQUQQ9ONXK">#REF!</definedName>
    <definedName name="XRefCopy6">#REF!</definedName>
    <definedName localSheetId="1" name="BExBAI8X0FKDQJ6YZJQDTTG4ZCWY">#REF!</definedName>
    <definedName localSheetId="1" name="BExKKIM9NPF6B3SPMPIQB27HQME4">#REF!</definedName>
    <definedName localSheetId="1" name="BExU9LG29XU2K1GNKRO4438JYQZE">#REF!</definedName>
    <definedName localSheetId="1" name="BExGY6YA4P5KMY2VHT0DYK3YTFAX">#REF!</definedName>
    <definedName localSheetId="1" name="BEx77P0S3GVMS7BJUL9OWUGJ1B02">#REF!</definedName>
    <definedName name="BExOGXO9JE5XSE9GC3I6O21UEKAO">#REF!</definedName>
    <definedName localSheetId="1" name="BExXQCGQGGYSI0LTRVR73MUO50AW">#REF!</definedName>
    <definedName localSheetId="1" name="BExH02ZD6VAY1KQLAQYBBI6WWIZB">#REF!</definedName>
    <definedName localSheetId="1" name="XRefCopy60">#REF!</definedName>
    <definedName localSheetId="1" name="BExTUVFGOJEYS28JURA5KHQFDU5J">#REF!</definedName>
    <definedName name="BExONIL31DZWU7IFVN3VV0XTXJA1">#REF!</definedName>
    <definedName name="BExH2GJQR4JALNB314RY0LDI49VH">#REF!</definedName>
    <definedName localSheetId="1" name="BExUBKXBUCN760QYU7Q8GESBWOQH">#REF!</definedName>
    <definedName name="BExCSMOFTXSUEC1T46LR1UPYRCX5">#REF!</definedName>
    <definedName name="BEx1RBGC06B3T52OIC0EQ1KGVP1I">#REF!</definedName>
    <definedName name="BExEQBZX0EL6LIKPY01197ACK65H">#REF!</definedName>
    <definedName name="IQRMAG14">#REF!</definedName>
    <definedName localSheetId="1" name="BExXY7TYEBFXRYUYIFHTN65RJ8EW">#REF!</definedName>
    <definedName name="BExIKRF6AQ6VOO9KCIWSM6FY8M7D">#REF!</definedName>
    <definedName localSheetId="1" name="BExKPEZP0QTKOTLIMMIFSVTHQEEK">#REF!</definedName>
    <definedName name="BExVSL787C8E4HFQZ2NVLT35I2XV">#REF!</definedName>
    <definedName name="BEx1IERWBTW6RDRO3PBG5Y1IQ7WE">#REF!</definedName>
    <definedName localSheetId="1" name="BEx1FEVSJKTI1Q1Z874QZVFSJSVA">#REF!</definedName>
    <definedName localSheetId="1" name="BExESR27ZXJG5VMY4PR9D940VS7T">#REF!</definedName>
    <definedName name="_15__123Graph_ACHART_1">#REF!</definedName>
    <definedName name="XRefPaste132">#REF!</definedName>
    <definedName name="BEx755GRRD9BL27YHLH5QWIYLWB7">#REF!</definedName>
    <definedName localSheetId="1" name="BExUA5O923FFNEBY8BPO1TU3QGBM">#REF!</definedName>
    <definedName localSheetId="1" name="BExSC60N7WR9PJSNC9B7ORCX9NGY">#REF!</definedName>
    <definedName name="BExCW9Y5HWU4RJTNX74O6L24VGCK">#REF!</definedName>
    <definedName name="BExSD233CH4MU9ZMGNRF97ZV7KWU">#REF!</definedName>
    <definedName name="BExGY6YA4P5KMY2VHT0DYK3YTFAX">#REF!</definedName>
    <definedName name="BExB0KPCN7YJORQAYUCF4YKIKPMC">#REF!</definedName>
    <definedName name="_56__123Graph_XCHART_10">#REF!</definedName>
    <definedName name="BExINIMK8XC3JOBT2EXYFHHH52H0">#REF!</definedName>
    <definedName localSheetId="1" name="BExTWW95OX07FNA01WF5MSSSFQLX">#REF!</definedName>
    <definedName localSheetId="1" name="XRefPaste30">#REF!</definedName>
    <definedName localSheetId="1" name="XRefPaste63">#REF!</definedName>
    <definedName name="XRefCopy20Row">#REF!</definedName>
    <definedName name="BExTUJ53ANGZ3H1KDK4CR4Q0OD6P">#REF!</definedName>
    <definedName localSheetId="1" name="BExO863922O4PBGQMUNEQKGN3K96">#REF!</definedName>
    <definedName name="BExMDGD1KQP7NNR78X2ZX4FCBQ1S">#REF!</definedName>
    <definedName localSheetId="1" name="BExQJEVCKX6KZHNCLYXY7D0MX5KN">#REF!</definedName>
    <definedName name="XREF_COLUMN_43">#REF!</definedName>
    <definedName localSheetId="1" name="XRefCopy137">#REF!</definedName>
    <definedName name="BExXYLBHANUXC5FCTDDTGOVD3GQS">#REF!</definedName>
    <definedName localSheetId="1" name="BExZVLM4T9ORS4ZWHME46U4Q103C">#REF!</definedName>
    <definedName localSheetId="1" name="BExCZKH6NI0EE02L995IFVBD1J59">#REF!</definedName>
    <definedName name="BEx1TJ0WLS9O7KNSGIPWTYHDYI1D">#REF!</definedName>
    <definedName localSheetId="1" name="BExU0GDOIL9U33QGU9ZU3YX3V1I4">#REF!</definedName>
    <definedName name="BExCZKH6NI0EE02L995IFVBD1J59">#REF!</definedName>
    <definedName name="BExZVPYGX2C5OSHMZ6F0KBKZ6B1S">#REF!</definedName>
    <definedName localSheetId="1" name="BEx5NV06L5J5IMKGOMGKGJ4PBZCD">#REF!</definedName>
    <definedName name="BEx5AFFTN3IXIBHDKM0FYC4OFL1S">#REF!</definedName>
    <definedName localSheetId="1" name="BEx3T6MJ1QDJ929WMUDVZ0O3UW0Y">#REF!</definedName>
    <definedName localSheetId="1" name="BExH0KT9Z8HEVRRQRGQ8YHXRLIJA">#REF!</definedName>
    <definedName localSheetId="1" name="BEx3RHC2ZD5UFS6QD4OPFCNNMWH1">#REF!</definedName>
    <definedName localSheetId="1" name="BExU7Q0JS9YIUKUPNSSAIDK2KJAV">#REF!</definedName>
    <definedName name="BExU8FSAUP9TUZ1NO9WXK80QPHWV">#REF!</definedName>
    <definedName localSheetId="1" name="BEx5ER4TJTFPN7IB1MNEB1ZFR5M6">#REF!</definedName>
    <definedName localSheetId="1" name="BExOCYEXOB95DH5NOB0M5NOYX398">#REF!</definedName>
    <definedName localSheetId="1" name="BExIL0PMZ2SXK9R6MLP43KBU1J2P">#REF!</definedName>
    <definedName name="XRefCopy13Row">#REF!</definedName>
    <definedName localSheetId="1" name="BEx96SUFKHHFE8XQ6UUO6ILDOXHO">#REF!</definedName>
    <definedName localSheetId="1" name="BExAYR2JZCJBUH6F1LZC2A7JIVRJ">#REF!</definedName>
    <definedName localSheetId="1" name="BExKJELX2RUC8UEC56IZPYYZXHA7">#REF!</definedName>
    <definedName localSheetId="1" name="BExB5EDO9XUKHF74X3HAU2WPPHZH">#REF!</definedName>
    <definedName name="BExZNVCBKB930QQ9QW7KSGOZ0V1M">#REF!</definedName>
    <definedName name="BExQ5KX3Z668H1KUCKZ9J24HUQ1F">#REF!</definedName>
    <definedName localSheetId="1" name="XRefCopy66Row">#REF!</definedName>
    <definedName name="BEx3NMQ4BVC94728AUM7CCX7UHTU">#REF!</definedName>
    <definedName name="BExF6NUXJI11W2IAZNAM1QWC0459">#REF!</definedName>
    <definedName name="BEx3LPCEZ1C0XEKNCM3YT09JWCUO">#REF!</definedName>
    <definedName name="BExZWSMC9T48W74GFGQCIUJ8ZPP3">#REF!</definedName>
    <definedName name="BEx3G2LL2II66XY5YCDPG4JE13A3">#REF!</definedName>
    <definedName name="BEx3LCGH5JQKRLG3PYH76PHBTOGF">#REF!</definedName>
    <definedName name="BExUC8WH8TCKBB5313JGYYQ1WFLT">#REF!</definedName>
    <definedName name="BExIP8YNN6UUE1GZ223SWH7DLGKO">#REF!</definedName>
    <definedName name="BEx5APRZ66L5BWHFE8E4YYNEDTI4">#REF!</definedName>
    <definedName localSheetId="1" name="BExKIGQV6TXIZG039HBOJU62WP2U">#REF!</definedName>
    <definedName localSheetId="1" name="BExD97TXIO0COVNN4OH3DEJ33YLM">#REF!</definedName>
    <definedName name="BEx3FI2G3YYIACQHXNXEA15M8ZK5">#REF!</definedName>
    <definedName name="BExIWB3SY3WRIVIOF988DNNODBOA">#REF!</definedName>
    <definedName name="BExW1F1220628FOMTW5UAATHRJHK">#REF!</definedName>
    <definedName localSheetId="1" name="BEx1NM34KQTO1LDNSAFD1L82UZFG">#REF!</definedName>
    <definedName name="BExONFQH6UUXF8V0GI4BRIST9RFO">#REF!</definedName>
    <definedName name="BEx1F9HL824UCNCVZ2U62J4KZCX8">#REF!</definedName>
    <definedName name="XRefPaste17Row">#REF!</definedName>
    <definedName localSheetId="1" name="BExMD5F6IAV108XYJLXUO9HD0IT6">#REF!</definedName>
    <definedName name="BExZNV707LIU6Z5H6QI6H67LHTI1">#REF!</definedName>
    <definedName name="BEx90VGH5H09ON2QXYC9WIIEU98T">#REF!</definedName>
    <definedName name="BExGNZO44DEG8CGIDYSEGDUQ531R">#REF!</definedName>
    <definedName name="BExU0MTJQPE041ZN7H8UKGV6MZT7">#REF!</definedName>
    <definedName localSheetId="1" name="BEx5QPSW4IPLH50WSR87HRER05RF">#REF!</definedName>
    <definedName localSheetId="1" name="BExUCLC6AQ5KR6LXSAXV4QQ8ASVG">#REF!</definedName>
    <definedName localSheetId="1" name="XRefPaste25">#REF!</definedName>
    <definedName name="BExU7MF1ZVPDHOSMCAXOSYICHZ4I">#REF!</definedName>
    <definedName localSheetId="1" name="BEx3T29ZTULQE0OMSMWUMZDU9ZZ0">#REF!</definedName>
    <definedName name="BExGMP2F175LGL6QVSJGP6GKYHHA">#REF!</definedName>
    <definedName name="BExD6GMP0LK8WKVWMIT1NNH8CHLF">#REF!</definedName>
    <definedName name="BEx1JJJC9T1W7HY4V7HP1S1W4JO1">#REF!</definedName>
    <definedName name="BExZW7HRGN6A9YS41KI2B2UUMJ7X">#REF!</definedName>
    <definedName localSheetId="1" name="BExKG4IYHBKQQ8J8FN10GB2IKO33">#REF!</definedName>
    <definedName name="_21__123Graph_ACHART_9">#REF!</definedName>
    <definedName localSheetId="1" name="BExZTT6J3X0TOX0ZY6YPLUVMCW9X">#REF!</definedName>
    <definedName name="BExQ5YUUK9FD0QGTY4WD0W90O7OL">#REF!</definedName>
    <definedName name="BEx7DKWUXEDIISSX4GDD4YYT887F">#REF!</definedName>
    <definedName localSheetId="1" name="BEx759D1D5SXS5ELLZVBI0SXYUNF">#REF!</definedName>
    <definedName localSheetId="1" name="BExMMQIUVPCOBISTEJJYNCCLUCPY">#REF!</definedName>
    <definedName localSheetId="1" name="BExVTXLMYR87BC04D1ERALPUFVPG">#REF!</definedName>
    <definedName localSheetId="1" name="BExQ39R28MXSG2SEV956F0KZ20AN">#REF!</definedName>
    <definedName name="BExVT7TRK3NZHPME2TFBXOF1WBR9">#REF!</definedName>
    <definedName localSheetId="1" name="BExQ8583ZE00NW7T9OF11OT9IA14">#REF!</definedName>
    <definedName localSheetId="1" name="BExOKTXMJP351VXKH8VT6SXUNIMF">#REF!</definedName>
    <definedName localSheetId="1" name="XRefCopy75">#REF!</definedName>
    <definedName name="BEx5H0NEE0AIN5E2UHJ9J9ISU9N1">#REF!</definedName>
    <definedName localSheetId="1" name="XREF_COLUMN_36">#REF!</definedName>
    <definedName name="BExW1BVUYQTKMOR56MW7RVRX4L1L">#REF!</definedName>
    <definedName localSheetId="1" name="BExQ4T74LQ5PYTV1MUQUW75A4BDY">#REF!</definedName>
    <definedName localSheetId="1" name="BExIKMMJOETSAXJYY1SIKM58LMA2">#REF!</definedName>
    <definedName localSheetId="1" name="BExU401R18N6XKZKL7CNFOZQCM14">#REF!</definedName>
    <definedName name="BEx5LHLB3M6K4ZKY2F42QBZT30ZH">#REF!</definedName>
    <definedName localSheetId="1" name="BExXQJIEF5R3QQ6D8HO3NGPU0IQC">#REF!</definedName>
    <definedName name="BExB1Q29OO6LNFNT1EQLA3KYE7MX">#REF!</definedName>
    <definedName localSheetId="1" name="BExESZAW5N443NRTKIP59OEI1CR6">#REF!</definedName>
    <definedName localSheetId="1" name="XRefPaste22Row">#REF!</definedName>
    <definedName localSheetId="1" name="BEx3G2WA0DTYY9D8AGHHOBTPE2B2">#REF!</definedName>
    <definedName name="BExSGE45J27MDUUNXW7Z8Q33UAON">#REF!</definedName>
    <definedName localSheetId="1" name="BExGPID72Y4Y619LWASUQZKZHJNC">#REF!</definedName>
    <definedName name="BEx7EI6C8MCRZFEQYUBE5FSUTIHK">#REF!</definedName>
    <definedName name="BExGLC7R4C33RO0PID97ZPPVCW4M">#REF!</definedName>
    <definedName name="BExKIGQV6TXIZG039HBOJU62WP2U">#REF!</definedName>
    <definedName name="_17__123Graph_ACHART_11">#REF!</definedName>
    <definedName localSheetId="1" name="BEx3G2LL2II66XY5YCDPG4JE13A3">#REF!</definedName>
    <definedName localSheetId="1" name="XRefCopy8">#REF!</definedName>
    <definedName localSheetId="1" name="BEx5KYER580I4T7WTLMUN7NLNP5K">#REF!</definedName>
    <definedName localSheetId="1" name="BExITBNYANV2S8KD56GOGCKW393R">#REF!</definedName>
    <definedName localSheetId="1" name="BExZKJRF2IRR57DG9CLC7MSHWNNN">#REF!</definedName>
    <definedName localSheetId="1" name="BExTXJ6HBAIXMMWKZTJNFDYVZCAY">#REF!</definedName>
    <definedName localSheetId="1" name="BExVVQ19TAECID45CS4HXT1RD3AQ">#REF!</definedName>
    <definedName name="BExOLOI0WJS3QC12I3ISL0D9AWOF">#REF!</definedName>
    <definedName localSheetId="1" name="BEx96KR21O7H9R29TN0S45Y3QPUK">#REF!</definedName>
    <definedName name="XRefPaste133">#REF!</definedName>
    <definedName name="BExZY02V77YJBMODJSWZOYCMPS5X">#REF!</definedName>
    <definedName localSheetId="1" name="BEx79YUC7B0V77FSBGIRCY1BR4VK">#REF!</definedName>
    <definedName localSheetId="1" name="BEx3GN4LY0135CBDIN1TU2UEODGF">#REF!</definedName>
    <definedName localSheetId="1" name="BExXMT8T5Z3M2JBQN65X2LKH0YQI">#REF!</definedName>
    <definedName localSheetId="1" name="BEx5GUCTYC7QCWGWU5BTO7Y7HDZX">#REF!</definedName>
    <definedName localSheetId="1" name="BEx99Q6PH5F3OQKCCAAO75PYDEFN">#REF!</definedName>
    <definedName localSheetId="1" name="BExZN847WUWKRYTZWG9TCQZJS3OL">#REF!</definedName>
    <definedName localSheetId="1" name="XREF_COLUMN_3">#REF!</definedName>
    <definedName name="BExXVK87BMMO6LHKV0CFDNIQVIBS">#REF!</definedName>
    <definedName name="XRefPaste120Row">#REF!</definedName>
    <definedName name="BEx9EMK6HAJJMVYZTN5AUIV7O1E6">#REF!</definedName>
    <definedName localSheetId="1" name="BExEQFLE2RPWGMWQAI4JMKUEFRPT">#REF!</definedName>
    <definedName localSheetId="1" name="BExCYAH2SAZCPW6XCB7V7PMMCAWO">#REF!</definedName>
    <definedName name="BExMMH8EAZB09XXQ5X4LR0P4NHG9">#REF!</definedName>
    <definedName name="BExCSAOUZOYKHN7HV511TO8VDJ02">#REF!</definedName>
    <definedName name="BExQ9M4E2ACZOWWWP1JJIQO8AHUM">#REF!</definedName>
    <definedName name="BExZXYQ7U5G08FQGUIGYT14QCBOF">#REF!</definedName>
    <definedName localSheetId="1" name="BEx1J0CSSHDJGBJUHVOEMCF2P4DL">#REF!</definedName>
    <definedName localSheetId="1" name="BExW66LVVZK656PQY1257QMHP2AY">#REF!</definedName>
    <definedName localSheetId="1" name="BExKT3GJFNGAM09H5F615E36A38C">#REF!</definedName>
    <definedName localSheetId="1" name="BExKFOSK5DJ151C4E8544UWMYTOC">#REF!</definedName>
    <definedName name="XREF_COLUMN_13">#REF!</definedName>
    <definedName name="BEx1HDGOOJ3SKHYMWUZJ1P0RQZ9N">#REF!</definedName>
    <definedName localSheetId="1" name="BExQ3O4W7QF8BOXTUT4IOGF6YKUD">#REF!</definedName>
    <definedName localSheetId="1" name="BExGXWB73RJ4BASBQTQ8EY0EC1EB">#REF!</definedName>
    <definedName name="BExIYI2RH0K4225XO970K2IQ1E79">#REF!</definedName>
    <definedName localSheetId="1" name="BExCVBXGSXT9FWJRG62PX9S1RK83">#REF!</definedName>
    <definedName name="BEx5G08KGMG5X2AQKDGPFYG5GH94">#REF!</definedName>
    <definedName localSheetId="1" name="_21__123Graph_ACHART_9">#REF!</definedName>
    <definedName name="BEx0017DGUEDPCFJUPUZOOLJCS2B">#REF!</definedName>
    <definedName name="BExB9Q2MZZHBGW8QQKVEYIMJBPIE">#REF!</definedName>
    <definedName name="BEx9BYSYW7QCPXS2NAVLFAU5Y2Z2">#REF!</definedName>
    <definedName name="BExKO2AHHSGNI1AZOIOW21KPXKPE">#REF!</definedName>
    <definedName localSheetId="1" name="BExQKG6LD6PLNDGNGO9DJXY865BR">#REF!</definedName>
    <definedName name="BEx7G82CKM3NIY1PHNFK28M09PCH">#REF!</definedName>
    <definedName localSheetId="1" name="BExZNVCBKB930QQ9QW7KSGOZ0V1M">#REF!</definedName>
    <definedName localSheetId="1" name="BEx1OO5ER042IS6IC4TLDI75JNVH">#REF!</definedName>
    <definedName name="BExER2O72H1F9WV6S1J04C15PXX7">#REF!</definedName>
    <definedName name="ACwvu.ACC.">#REF!</definedName>
    <definedName name="BExS3SDERJ27OER67TIGOVZU13A2">#REF!</definedName>
    <definedName localSheetId="1" name="BEx7IV2IJ5WT7UC0UG7WP0WF2JZI">#REF!</definedName>
    <definedName localSheetId="1" name="BExMCB5JU5I2VQDUBS4O42BTEVKI">#REF!</definedName>
    <definedName localSheetId="1" name="BExTUWXFQHINU66YG82BI20ATMB5">#REF!</definedName>
    <definedName localSheetId="1" name="BExU147D6RPG6ZVTSXRKFSVRHSBG">#REF!</definedName>
    <definedName name="BExBDUVGK3E1J4JY9ZYTS7V14BLY">#REF!</definedName>
    <definedName name="BExMQ4I3Q7F0BMPHSFMFW9TZ87UD">#REF!</definedName>
    <definedName localSheetId="1" name="BExXZXKH7NBARQQAZM69Z57IH1MM">#REF!</definedName>
    <definedName localSheetId="1" name="BExOL7KH12VAR0LG741SIOJTLWFD">#REF!</definedName>
    <definedName localSheetId="1" name="_43__123Graph_DOP75_25RETURN">#REF!</definedName>
    <definedName name="BExXUYND6EJO7CJ5KRICV4O1JNWK">#REF!</definedName>
    <definedName localSheetId="1" name="BExAZX6FECVK3E07KXM2XPYKGM6U">#REF!</definedName>
    <definedName localSheetId="1" name="BExW5AZNT6IAZGNF2C879ODHY1B8">#REF!</definedName>
    <definedName name="BEx95QHBVDN795UNQJLRXG3RDU49">#REF!</definedName>
    <definedName localSheetId="1" name="BExQEQ4XZQFIKUXNU9H7WE7AMZ1U">#REF!</definedName>
    <definedName localSheetId="1" name="BExKJK5ME8KB7HA0180L7OUZDDGV">#REF!</definedName>
    <definedName name="BExEXBQWAYKMVBRJRHB8PFCSYFVN">#REF!</definedName>
    <definedName localSheetId="1" name="BExIZPZDHC8HGER83WHCZAHOX7LK">#REF!</definedName>
    <definedName localSheetId="1" name="BEx3PDNRRNKD5GOUBUQFXAHIXLD9">#REF!</definedName>
    <definedName name="XRefPaste13Row">#REF!</definedName>
    <definedName localSheetId="1" name="BEx3BTLL3ASJN134DLEQTQM70VZM">#REF!</definedName>
    <definedName name="BExEQFLE2RPWGMWQAI4JMKUEFRPT">#REF!</definedName>
    <definedName localSheetId="1" name="BExQG8TYRD2G42UA5ZPCRLNKUDMX">#REF!</definedName>
    <definedName localSheetId="1" name="XRefPaste107">#REF!</definedName>
    <definedName localSheetId="1" name="BExIS77BJDDK18PGI9DSEYZPIL7P">#REF!</definedName>
    <definedName name="BEx3U9VZ8SQVYS6ZA038J7AP7ZGW">#REF!</definedName>
    <definedName name="BExKTUKYYU0F6TUW1RXV24LRAZFE">#REF!</definedName>
    <definedName localSheetId="1" name="XRefCopy145">#REF!</definedName>
    <definedName name="BExB8HF4UBVZKQCSRFRUQL2EE6VL">#REF!</definedName>
    <definedName localSheetId="1" name="XRefPaste126Row">#REF!</definedName>
    <definedName localSheetId="1" name="BEx1HDGOOJ3SKHYMWUZJ1P0RQZ9N">#REF!</definedName>
    <definedName name="BExGLFIF7HCFSHNQHKEV6RY0WCO3">#REF!</definedName>
    <definedName localSheetId="1" name="BExQIAPKHVEV8CU1L3TTHJW67FJ5">#REF!</definedName>
    <definedName name="BEx3G2WA0DTYY9D8AGHHOBTPE2B2">#REF!</definedName>
    <definedName localSheetId="1" name="ACwvu.ELIMLUCRO.">#REF!</definedName>
    <definedName name="BExMKBM1467553LDFZRRKVSHN374">#REF!</definedName>
    <definedName name="BExQ39R28MXSG2SEV956F0KZ20AN">#REF!</definedName>
    <definedName localSheetId="1" name="BExS9DX13CACP3J8JDREK30JB1SQ">#REF!</definedName>
    <definedName localSheetId="1" name="BExGN9FZ2RWCMSY1YOBJKZMNIM9R">#REF!</definedName>
    <definedName name="BExB0FRDEYDEUEAB1W8KD6D965XA">#REF!</definedName>
    <definedName name="BExS8R51C8RM2FS6V6IRTYO9GA4A">#REF!</definedName>
    <definedName localSheetId="1" name="XRefCopy34Row">#REF!</definedName>
    <definedName localSheetId="1" name="BExD99RZ1RFIMK6O1ZHSPJ68X9Y5">#REF!</definedName>
    <definedName localSheetId="1" name="BExMF4G4IUPQY1Y5GEY5N3E04CL6">#REF!</definedName>
    <definedName localSheetId="1" name="XRefCopy44">#REF!</definedName>
    <definedName localSheetId="1" name="BExW2SMO90FU9W8DVVES6Q4E6BZR">#REF!</definedName>
    <definedName name="BEx5P9Y9RDXNUAJ6CZ2LHMM8IM7T">#REF!</definedName>
    <definedName name="BExIMGK9Z94TFPWWZFMD10HV0IF6">#REF!</definedName>
    <definedName localSheetId="1" name="XRefPaste57Row">#REF!</definedName>
    <definedName name="BEx5F6V72QTCK7O39Y59R0EVM6CW">#REF!</definedName>
    <definedName localSheetId="1" name="XREF_COLUMN_32">#REF!</definedName>
    <definedName name="BExBAKXZ7PBW3DDKKA5MWC1ZUC7O">#REF!</definedName>
    <definedName localSheetId="1" name="BExQ4DGKF54SRKQUTUT4B1CZSS62">#REF!</definedName>
    <definedName name="_45__123Graph_EO_MPRICE">#REF!</definedName>
    <definedName name="ask">#REF!</definedName>
    <definedName name="BExOOIULUDOJRMYABWV5CCL906X6">#REF!</definedName>
    <definedName name="BEx5IBUPG9AWNW5PK7JGRGEJ4OLM">#REF!</definedName>
    <definedName localSheetId="1" name="BEx3EQSLJBDDJRHNX19PBFCKNY2I">#REF!</definedName>
    <definedName name="XRefPaste136">#REF!</definedName>
    <definedName name="_38__123Graph_COP75_25RETURN">#REF!</definedName>
    <definedName localSheetId="1" name="BExQ7MY3U2Z1IZ71U5LJUD00VVB4">#REF!</definedName>
    <definedName name="BExZUT54340I38GVCV79EL116WR0">#REF!</definedName>
    <definedName localSheetId="1" name="BExTZ7F71SNTOX4LLZCK5R9VUMIJ">#REF!</definedName>
    <definedName localSheetId="1" name="BExXWFP5AYE7EHYTJWBZSQ8PQ0YX">#REF!</definedName>
    <definedName localSheetId="1" name="BExOHR1G1I9A9CI1HG94EWBLWNM2">#REF!</definedName>
    <definedName name="BEx3BNR9ES4KY7Q1DK83KC5NDGL8">#REF!</definedName>
    <definedName localSheetId="1" name="BExH0NT6STRLWUR9AU8P4DGZZ0HD">#REF!</definedName>
    <definedName localSheetId="1" name="BExQ6M8B0X44N9TV56ATUVHGDI00">#REF!</definedName>
    <definedName localSheetId="1" name="BExEV69USLNYO2QRJRC0J92XUF00">#REF!</definedName>
    <definedName name="BExQFGYIWDR4W0YF7XR6E4EWWJ02">#REF!</definedName>
    <definedName name="BExF5HR2GFV7O8LKG9SJ4BY78LYA">#REF!</definedName>
    <definedName localSheetId="1" name="BEx5JF3ZXLDIS8VNKDCY7ZI7H1CI">#REF!</definedName>
    <definedName localSheetId="1" name="BEx1HIPLJZABY0EMUOTZN0EQMDPU">#REF!</definedName>
    <definedName localSheetId="1" name="BExU5X4OX1V1XHS6WSSORVQPP6Z3">#REF!</definedName>
    <definedName name="BExY1NWOXXFV9GGZ3PX444LZ8TVX">#REF!</definedName>
    <definedName name="BExXQEEXFHDQ8DSRAJSB5ET6J004">#REF!</definedName>
    <definedName localSheetId="1" name="BExXXPPA1Q87XPI97X0OXCPBPDON">#REF!</definedName>
    <definedName name="XRefPaste5">#REF!</definedName>
    <definedName name="BEx5BKSM4UN4C1DM3EYKM79MRC5K">#REF!</definedName>
    <definedName name="BExF0ZRI7W4RSLIDLHTSM0AWXO3S">#REF!</definedName>
    <definedName name="BExCX2KGRZBRVLZNM8SUSIE6A0RL">#REF!</definedName>
    <definedName localSheetId="1" name="BExCTZZ9JNES4EDHW97NP0EGQALX">#REF!</definedName>
    <definedName localSheetId="1" name="BExOBEZ0IE2WBEYY3D3CMRI72N1K">#REF!</definedName>
    <definedName localSheetId="1" name="BExOPFNYRBL0BFM23LZBJTADNOE4">#REF!</definedName>
    <definedName localSheetId="1" name="XRefCopy35">#REF!</definedName>
    <definedName localSheetId="1" name="BExQ97QIPOSSRK978N8P234Y1XA4">#REF!</definedName>
    <definedName localSheetId="1" name="BExETVTGY38YXYYF7N73OYN6FYY3">#REF!</definedName>
    <definedName name="XRefPaste138Row">#REF!</definedName>
    <definedName name="_20__123Graph_ACHART_8">#REF!</definedName>
    <definedName name="BExU6AM82KN21E82HMWVP3LWP9IL">#REF!</definedName>
    <definedName localSheetId="1" name="BEx5F6V72QTCK7O39Y59R0EVM6CW">#REF!</definedName>
    <definedName name="BExXND6872VJ3M2PGT056WQMWBHD">#REF!</definedName>
    <definedName name="BExB203OWC9QZA3BYOKQ18L4FUJE">#REF!</definedName>
    <definedName localSheetId="1" name="XRefPaste104Row">#REF!</definedName>
    <definedName name="BExF2CWZN6E87RGTBMD4YQI2QT7R">#REF!</definedName>
    <definedName name="BExKT2UZ7Y2VWF5NQE18SJRLD2RN">#REF!</definedName>
    <definedName name="BEx7ASD1I654MEDCO6GGWA95PXSC">#REF!</definedName>
    <definedName name="XRefPaste99Row">#REF!</definedName>
    <definedName name="BExMI3AJ9477KDL4T9DHET4LJJTW">#REF!</definedName>
    <definedName name="XRefPaste64">#REF!</definedName>
    <definedName localSheetId="1" name="BExS0ASQBKRTPDWFK0KUDFOS9LE5">#REF!</definedName>
    <definedName name="BExTU75IOII1V5O0C9X2VAYYVJUG">#REF!</definedName>
    <definedName name="BExBDKOMSVH4XMH52CFJ3F028I9R">#REF!</definedName>
    <definedName name="BExW2SMO90FU9W8DVVES6Q4E6BZR">#REF!</definedName>
    <definedName localSheetId="1" name="BEx97RWQLXS0OORDCN69IGA58CWU">#REF!</definedName>
    <definedName name="BExMM5UCOT2HSSN0ZIPZW55GSOVO">#REF!</definedName>
    <definedName name="ACwvu.LPERDAS.">#REF!</definedName>
    <definedName name="BExO66LZJKY4PTQVREELI6POS4AY">#REF!</definedName>
    <definedName localSheetId="1" name="BExIQ9TMQT2EIXSVQW7GVSOAW2VJ">#REF!</definedName>
    <definedName name="BExB6IZMHCZ3LB7N73KD90YB1HBZ">#REF!</definedName>
    <definedName name="BExMLO5Z61RE85X8HHX2G4IU3AZW">#REF!</definedName>
    <definedName name="_60__123Graph_XCHART_9">#REF!</definedName>
    <definedName name="BExQLE1TOW3A287TQB0AVWENT8O1">#REF!</definedName>
    <definedName name="BExVZ9EO732IK6MNMG17Y1EFTJQC">#REF!</definedName>
    <definedName localSheetId="1" name="BExMIIQ5MBWSIHTFWAQADXMZC22Q">#REF!</definedName>
    <definedName name="BExD9L0ID3VSOU609GKWYTA5BFMA">#REF!</definedName>
    <definedName name="XRefCopy81Row">#REF!</definedName>
    <definedName name="BExODZFEIWV26E8RFU7XQYX1J458">#REF!</definedName>
    <definedName name="BExKK8VP5RS3D0UXZVKA37C4SYBP">#REF!</definedName>
    <definedName localSheetId="1" name="Summary">#REF!</definedName>
    <definedName name="BExBAI8X0FKDQJ6YZJQDTTG4ZCWY">#REF!</definedName>
    <definedName name="BExY3HOSK7YI364K15OX70AVR6F1">#REF!</definedName>
    <definedName localSheetId="1" name="BExESZ03KXL8DQ2591HLR56ZML94">#REF!</definedName>
    <definedName name="BExMI8OS85YTW3KYVE4YD0R7Z6UV">#REF!</definedName>
    <definedName name="BExIJWPCIYINEJUTXU74VK7WG031">#REF!</definedName>
    <definedName localSheetId="1" name="XRefPaste11Row">#REF!</definedName>
    <definedName localSheetId="1" name="BExZWKZ5N3RDXU8MZ8HQVYYD8O0F">#REF!</definedName>
    <definedName localSheetId="1" name="XRefActiveRow">#REF!</definedName>
    <definedName name="BEx97H9O1NAKAPK4MX4PKO34ICL5">#REF!</definedName>
    <definedName name="BExD50MT3M6XZLNUP9JL93EG6D9R">#REF!</definedName>
    <definedName name="BExEQ2PFE4N40LEPGDPS90WDL6BN">#REF!</definedName>
    <definedName localSheetId="1" name="BEx3JYK2N7X59TPJSKYZ77ENY8SS">#REF!</definedName>
    <definedName localSheetId="1" name="BExAZRMWSONMCG9KDUM4KAQ7BONM">#REF!</definedName>
    <definedName localSheetId="1" name="XRefPaste65Row">#REF!</definedName>
    <definedName localSheetId="1" name="BExCW9Y5HWU4RJTNX74O6L24VGCK">#REF!</definedName>
    <definedName name="BExGOXJDHUDPDT8I8IVGVW9J0R5Q">#REF!</definedName>
    <definedName name="BExETR0YRMOR63E6DHLEHV9QVVON">#REF!</definedName>
    <definedName localSheetId="1" name="BExBAO8NLXZXHO6KCIECSFCH3RR0">#REF!</definedName>
    <definedName localSheetId="1" name="BExU1NOPS09CLFZL1O31RAF9BQNQ">#REF!</definedName>
    <definedName localSheetId="1" name="BEx9B917EUP13X6FQ3NPQL76XM5V">#REF!</definedName>
    <definedName name="BEx5FGLQVACD5F5YZG4DGSCHCGO2">#REF!</definedName>
    <definedName localSheetId="1" name="BExY2IXBR1SGYZH08T7QHKEFS8HA">#REF!</definedName>
    <definedName localSheetId="1" name="BEx1P34W467WGPOXPK292QFJIPHJ">#REF!</definedName>
    <definedName localSheetId="1" name="BExON0AX35F2SI0UCVMGWGVIUNI3">#REF!</definedName>
    <definedName localSheetId="1" name="BEx92FI04PJT4LI23KKIHRXWJDTT">#REF!</definedName>
    <definedName name="BExIX5OAP9KSUE5SIZCW9P39Q4WE">#REF!</definedName>
    <definedName localSheetId="1" name="BExMRU3ACIU0RD2BNWO55LH5U2BR">#REF!</definedName>
    <definedName name="BExKFA3VI1CZK21SM0N3LZWT9LA1">#REF!</definedName>
    <definedName name="BExXSNHC88W4UMXEOIOOATJAIKZO">#REF!</definedName>
    <definedName localSheetId="1" name="BExZMXH39OB0I43XEL3K11U3G9PM">#REF!</definedName>
    <definedName name="BEx1WC67EH10SC38QWX3WEA5KH3A">#REF!</definedName>
    <definedName name="BExQHVF9KD06AG2RXUQJ9X4PVGX4">#REF!</definedName>
    <definedName localSheetId="1" name="BExVYVGWN7SONLVDH9WJ2F1JS264">#REF!</definedName>
    <definedName localSheetId="1" name="BExMDPI2FVMORSWDDCVAJ85WYAYO">#REF!</definedName>
    <definedName localSheetId="1" name="XRefCopy9Row">#REF!</definedName>
    <definedName name="BExD73USXVADC7EHGHVTQNCT06ZA">#REF!</definedName>
    <definedName name="BExXOBHOP0WGFHI2Y9AO4L440UVQ">#REF!</definedName>
    <definedName localSheetId="1" name="BEx5GN0EWA9SCQDPQ7NTUQH82QVK">#REF!</definedName>
    <definedName name="BExOIM7L0Z3LSII9P7ZTV4KJ8RMA">#REF!</definedName>
    <definedName name="XRefPaste75">#REF!</definedName>
    <definedName name="BExIUD4OJGH65NFNQ4VMCE3R4J1X">#REF!</definedName>
    <definedName name="XRefCopy80Row">#REF!</definedName>
    <definedName name="BEx7FN32ZGWOAA4TTH79KINTDWR9">#REF!</definedName>
    <definedName localSheetId="1" name="BExXWVFIBQT8OY1O41FRFPFGXQHK">#REF!</definedName>
    <definedName name="BEx978KSD61YJH3S9DGO050R2EHA">#REF!</definedName>
    <definedName name="BExQ4DGKF54SRKQUTUT4B1CZSS62">#REF!</definedName>
    <definedName localSheetId="1" name="BEx5FNI2O10YN2SI1NO4X5GP3GTF">#REF!</definedName>
    <definedName localSheetId="1" name="BEx95NHF4RVUE0YDOAFZEIVBYJXD">#REF!</definedName>
    <definedName name="BExZNW8QJ18X0RSGFDWAE9ZSDX39">#REF!</definedName>
    <definedName name="BEx5ELQL9B0VR6UT18KP11DHOTFX">#REF!</definedName>
    <definedName name="BExMR8YQHA7N77HGHY4Y6R30I3XT">#REF!</definedName>
    <definedName name="BExETVTGY38YXYYF7N73OYN6FYY3">#REF!</definedName>
    <definedName name="BExZJ7I9T8XU4MZRKJ1VVU76V2LZ">#REF!</definedName>
    <definedName name="BExTVZQLP9VFLEYQ9280W13X7E8K">#REF!</definedName>
    <definedName localSheetId="1" name="BExXN22ZOTIW49GPLWFYKVM90FNZ">#REF!</definedName>
    <definedName localSheetId="1" name="BEx94N7W5T3U7UOE97D6OVIBUCXS">#REF!</definedName>
    <definedName localSheetId="1" name="BEx3UYM19VIXLA0EU7LB9NHA77PB">#REF!</definedName>
    <definedName name="BEx97RWQLXS0OORDCN69IGA58CWU">#REF!</definedName>
    <definedName localSheetId="1" name="BEx5NZSSQ6PY99ZX2D7Q9IGOR34W">#REF!</definedName>
    <definedName localSheetId="1" name="BExMPMZ07II0R4KGWQQ7PGS3RZS4">#REF!</definedName>
    <definedName localSheetId="1" name="BEx3LPCEZ1C0XEKNCM3YT09JWCUO">#REF!</definedName>
    <definedName localSheetId="1" name="XRefPaste131Row">#REF!</definedName>
    <definedName name="BEx92HWA2D6A5EX9MFG68G0NOMSN">#REF!</definedName>
    <definedName name="BEx1H6KIT7BHUH6MDDWC935V9N47">#REF!</definedName>
    <definedName name="BExY1GK9ELBEKDD7O6HR6DUO8YGO">#REF!</definedName>
    <definedName name="BEx7KEYPBDXSNROH8M6CDCBN6B50">#REF!</definedName>
    <definedName name="BExW9POK1KIOI0ALS5MZIKTDIYMA">#REF!</definedName>
    <definedName localSheetId="1" name="BExXXBM521DL8R4ZX7NZ3DBCUOR5">#REF!</definedName>
    <definedName name="XRefPaste27Row">#REF!</definedName>
    <definedName name="BExXM065WOLYRYHGHOJE0OOFXA4M">#REF!</definedName>
    <definedName name="BExTV67VIM8PV6KO253M4DUBJQLC">#REF!</definedName>
    <definedName name="BEx779QNIY3061ZV9BR462WKEGRW">#REF!</definedName>
    <definedName localSheetId="1" name="ACwvu.AFAC.">#REF!</definedName>
    <definedName name="BExEPN9VIYI0FVL0HLZQXJFO6TT0">#REF!</definedName>
    <definedName localSheetId="1" name="BExUCFCDK6SPH86I6STXX8X3WMC4">#REF!</definedName>
    <definedName name="BExEX9HWY2G6928ZVVVQF77QCM2C">#REF!</definedName>
    <definedName name="BExIV3HY4S0YRV1F7XEMF2YHAR2I">#REF!</definedName>
    <definedName localSheetId="1" name="XRefPaste75">#REF!</definedName>
    <definedName localSheetId="1" name="BExIV3HY4S0YRV1F7XEMF2YHAR2I">#REF!</definedName>
    <definedName name="BEx93B9OULL2YGC896XXYAAJSTRK">#REF!</definedName>
    <definedName name="XRefPaste137">#REF!</definedName>
    <definedName name="BExO863922O4PBGQMUNEQKGN3K96">#REF!</definedName>
    <definedName name="BExQ9UTANMJCK7LJ4OQMD6F2Q01L">#REF!</definedName>
    <definedName localSheetId="1" name="BEx1Y3PKK83X2FN9SAALFHOWKMRQ">#REF!</definedName>
    <definedName name="BExUC623BDYEODBN0N4DO6PJQ7NU">#REF!</definedName>
    <definedName name="BExH2XS2TND9SB0GC295R4FP6K5Y">#REF!</definedName>
    <definedName name="BExZXOJDELULNLEH7WG0OYJT0NJ4">#REF!</definedName>
    <definedName name="BExKT3GJFNGAM09H5F615E36A38C">#REF!</definedName>
    <definedName name="REHFBJFN">#REF!</definedName>
    <definedName name="BExSFKQRST2S9KXWWLCXYLKSF4G1">#REF!</definedName>
    <definedName name="BEx1KUVWMB0QCWA3RBE4CADFVRIS">#REF!</definedName>
    <definedName localSheetId="1" name="BExZN2F7Y2J2L2LN5WZRG949MS4A">#REF!</definedName>
    <definedName name="XRefCopy19Row">#REF!</definedName>
    <definedName localSheetId="1" name="BExY1DPTV4LSY9MEOUGXF8X052NA">#REF!</definedName>
    <definedName localSheetId="1" name="BEx75VJGR07JY6UUWURQ4PJ29UKC">#REF!</definedName>
    <definedName name="XRefPaste119">#REF!</definedName>
    <definedName localSheetId="1" name="BExOFO47X8LEG1XBEQA1SUQN1EUE">#REF!</definedName>
    <definedName localSheetId="1" name="BExZQON28CICEHB445XVLZKQITQ3">#REF!</definedName>
    <definedName name="BExCYUK0I3UEXZNFDW71G6Z6D8XR">#REF!</definedName>
    <definedName localSheetId="1" name="ACwvu.Fabio.">#REF!</definedName>
    <definedName localSheetId="1" name="BExB442RX0T3L6HUL6X5T21CENW6">#REF!</definedName>
    <definedName name="BExY3T89AUR83SOAZZ3OMDEJDQ39">#REF!</definedName>
    <definedName name="BExKG4IYHBKQQ8J8FN10GB2IKO33">#REF!</definedName>
    <definedName localSheetId="1" name="XRefCopy29Row">#REF!</definedName>
    <definedName name="_25__123Graph_BCHART_10">#REF!</definedName>
    <definedName localSheetId="1" name="BEx1P7S1J4TKGVJ43C2Q2R3M9WRB">#REF!</definedName>
    <definedName name="XRefCopy61Row">#REF!</definedName>
    <definedName name="XRefPaste71Row">#REF!</definedName>
    <definedName localSheetId="1" name="BExU02QNT4LT7H9JPUC4FXTLVGZT">#REF!</definedName>
    <definedName localSheetId="1" name="BEx7NI062THZAM6I8AJWTFJL91CS">#REF!</definedName>
    <definedName localSheetId="1" name="BExU57YCIKPRD8QWL6EU0YR3NG3J">#REF!</definedName>
    <definedName name="_49__123Graph_FO_MPRICE">#REF!</definedName>
    <definedName localSheetId="1" name="BExD9M7SEMG0JK2FUTTZXWIEBTKB">#REF!</definedName>
    <definedName name="BExXTZKZ4CG92ZQLIRKEXXH9BFIR">#REF!</definedName>
    <definedName name="BEx79SEAYKUZB0H4LYBCD6WWJBG2">#REF!</definedName>
    <definedName name="XREF_COLUMN_12">#REF!</definedName>
    <definedName localSheetId="1" name="BExMDGD1KQP7NNR78X2ZX4FCBQ1S">#REF!</definedName>
    <definedName name="BExQHPKXZ1K33V2F90NZIQRZYIAW">#REF!</definedName>
    <definedName localSheetId="1" name="BEx774N83DXLJZ54Q42PWIJZ2DN1">#REF!</definedName>
    <definedName name="XRefCopy4">#REF!</definedName>
    <definedName name="BExQBDICMZTSA1X73TMHNO4JSFLN">#REF!</definedName>
    <definedName name="BEx780K8XAXUHGVZGZWQ74DK4CI3">#REF!</definedName>
    <definedName localSheetId="1" name="_42__123Graph_DOP75_25PRICE">#REF!</definedName>
    <definedName name="BExU1VRURIWWVJ95O40WA23LMTJD">#REF!</definedName>
    <definedName name="BExEW68M9WL8214QH9C7VCK7BN08">#REF!</definedName>
    <definedName localSheetId="1" name="BExKH3FV5U5O6XZM7STS3NZKQFGJ">#REF!</definedName>
    <definedName name="BEx02Q08R9G839Q4RFGG9026C7PX">#REF!</definedName>
    <definedName localSheetId="1" name="BExOK4WM9O7QNG6O57FOASI5QSN1">#REF!</definedName>
    <definedName name="BEx5PHWB2C0D5QLP3BZIP3UO7DIZ">#REF!</definedName>
    <definedName localSheetId="1" name="BExB2K1AV4PGNS1O6C7D7AO411AX">#REF!</definedName>
    <definedName name="BExIQX1XBB31HZTYEEVOBSE3C5A6">#REF!</definedName>
    <definedName localSheetId="1" name="BExZMOC3VNZALJM71X2T6FV91GTB">#REF!</definedName>
    <definedName name="BExXWFP5AYE7EHYTJWBZSQ8PQ0YX">#REF!</definedName>
    <definedName localSheetId="1" name="BEx9DN6ZMF18Q39MPMXSDJTZQNJ3">#REF!</definedName>
    <definedName name="BExKKQ3ZWADYV03YHMXDOAMU90EB">#REF!</definedName>
    <definedName name="BExW8K0SSIPSKBVP06IJ71600HJZ">#REF!</definedName>
    <definedName localSheetId="1" name="BExF6GNYXWY8A0SY4PW1B6KJMMTM">#REF!</definedName>
    <definedName localSheetId="1" name="BExXLDE6PN4ESWT3LXJNQCY94NE4">#REF!</definedName>
    <definedName name="BExGZJ78ZWZCVHZ3BKEKFJZ6MAEO">#REF!</definedName>
    <definedName localSheetId="1" name="BExIYEXJBK8JDWIRSVV4RJSKZVV1">#REF!</definedName>
    <definedName name="XRefPaste119Row">#REF!</definedName>
    <definedName name="BExH0NT6STRLWUR9AU8P4DGZZ0HD">#REF!</definedName>
    <definedName localSheetId="1" name="BExGLTARRL0J772UD2TXEYAVPY6E">#REF!</definedName>
    <definedName name="BExF7OVDRP3LHNAF2CX4V84CKKIR">#REF!</definedName>
    <definedName name="BExIR8FQETPTQYW37DBVDWG3J4JW">#REF!</definedName>
    <definedName name="BExGW2Z7AMPG6H9EXA9ML6EZVGGA">#REF!</definedName>
    <definedName name="XRefPaste23">#REF!</definedName>
    <definedName localSheetId="1" name="BExXTM3M4RTCRSX7VGAXGQNPP668">#REF!</definedName>
    <definedName name="Swvu.LPERDAS.">#REF!</definedName>
    <definedName localSheetId="1" name="BExMNKCJ0FA57YEUUAJE43U1QN5P">#REF!</definedName>
    <definedName localSheetId="1" name="XRefCopy69">#REF!</definedName>
    <definedName name="BExQ2FS228IUDUP2023RA1D4AO4C">#REF!</definedName>
    <definedName localSheetId="1" name="BExXRD13K1S9Y3JGR7CXSONT7RJZ">#REF!</definedName>
    <definedName name="BExF6FGUF393KTMBT40S5BYAFG00">#REF!</definedName>
    <definedName name="BExSD6A6NY15YSMFH51ST6XJY429">#REF!</definedName>
    <definedName name="XRefCopy33Row">#REF!</definedName>
    <definedName localSheetId="1" name="_30__123Graph_BCHART_9">#REF!</definedName>
    <definedName name="BExQ7B3V9MGDK2OIJ61XXFBFLJFZ">#REF!</definedName>
    <definedName name="BEx3FX7EJL47JSLSWP3EOC265WAE">#REF!</definedName>
    <definedName name="BExU6KIAJ663Y8W8QMU4HCF183DF">#REF!</definedName>
    <definedName localSheetId="1" name="BExZW8ZPNV43UXGOT98FDNIBQHZY">#REF!</definedName>
    <definedName name="XRefPaste16">#REF!</definedName>
    <definedName name="BExEQTZAP8R69U31W4LKGTKKGKQE">#REF!</definedName>
    <definedName name="BEx904S75BPRYMHF0083JF7ES4NG">#REF!</definedName>
    <definedName name="BExIX34PM5DBTRHRQWP6PL6WIX88">#REF!</definedName>
    <definedName localSheetId="1" name="BExMA64MW1S18NH8DCKPCCEI5KCB">#REF!</definedName>
    <definedName localSheetId="1" name="BExMMQ835AJDHS4B419SS645P67Q">#REF!</definedName>
    <definedName name="BExXNWYB165VO9MHARCL5WLCHWS0">#REF!</definedName>
    <definedName name="BExVT9H0R0T7WGQAAC0HABMG54YM">#REF!</definedName>
    <definedName name="BExEV6VGM4POO9QT9KH3QA3VYCWM">#REF!</definedName>
    <definedName localSheetId="1" name="XRefPaste26">#REF!</definedName>
    <definedName localSheetId="1" name="BExD4F1WTKT3H0N9MF4H1LX7MBSY">#REF!</definedName>
    <definedName localSheetId="1" name="BExVVQ19AQ3VCARJOC38SF7OYE9Y">#REF!</definedName>
    <definedName localSheetId="1" name="BExD40O0CFTNJFOFMMM1KH0P7BUI">#REF!</definedName>
    <definedName name="BExU9GCSO5YILIKG6VAHN13DL75K">#REF!</definedName>
    <definedName name="BExOBP0FKQ4SVR59FB48UNLKCOR6">#REF!</definedName>
    <definedName localSheetId="1" name="BExMQ4SWDWI4N16AZ0T5CJ6HH8WC">#REF!</definedName>
    <definedName name="BExF3I9T44X7DV9HHV51DVDDPPZG">#REF!</definedName>
    <definedName localSheetId="1" name="BExS2TLU1HONYV6S3ZD9T12D7CIG">#REF!</definedName>
    <definedName name="BExITBNYANV2S8KD56GOGCKW393R">#REF!</definedName>
    <definedName localSheetId="1" name="BExVV5T14N2HZIK7HQ4P2KG09U0J">#REF!</definedName>
    <definedName localSheetId="1" name="BExQ6CN1EF2UPZ57ZYMGK8TUJQSS">#REF!</definedName>
    <definedName localSheetId="1" name="BExD2HTPC7IWBAU6OSQ67MQA8BYZ">#REF!</definedName>
    <definedName localSheetId="1" name="XRefCopy49">#REF!</definedName>
    <definedName name="BEx9EG9KBJ77M8LEOR9ITOKN5KXY">#REF!</definedName>
    <definedName localSheetId="1" name="BExXQU00KOR7XLM8B13DGJ1MIQDY">#REF!</definedName>
    <definedName localSheetId="1" name="BExOB9KT2THGV4SPLDVFTFXS4B14">#REF!</definedName>
    <definedName name="BExOC3UEHB1CZNINSQHZANWJYKR8">#REF!</definedName>
    <definedName name="BExS318UV9I2FXPQQWUKKX00QLPJ">#REF!</definedName>
    <definedName localSheetId="1" name="BExMKZ535P011X4TNV16GCOH4H21">#REF!</definedName>
    <definedName localSheetId="1" name="BEx7D5RWKRS4W71J4NZ6ZSFHPKFT">#REF!</definedName>
    <definedName localSheetId="1" name="BExMH3H9TW5TJCNU5Z1EWXP3BAEP">#REF!</definedName>
    <definedName localSheetId="1" name="BExKODIZGWW2EQD0FEYW6WK6XLCM">#REF!</definedName>
    <definedName name="BEx1XL4MZ7C80495GHQRWOBS16PQ">#REF!</definedName>
    <definedName name="BExBAVKX8Q09370X1GCZWJ4E91YJ">#REF!</definedName>
    <definedName localSheetId="1" name="BExIOMBXRW5NS4ZPYX9G5QREZ5J6">#REF!</definedName>
    <definedName localSheetId="1" name="BExKO2FXWJWC5IZLDN8JHYILQJ2N">#REF!</definedName>
    <definedName localSheetId="1" name="BExMKBM1467553LDFZRRKVSHN374">#REF!</definedName>
    <definedName name="XRefPaste133Row">#REF!</definedName>
    <definedName localSheetId="1" name="BExME9A7MOGAK7YTTQYXP5DL6VYA">#REF!</definedName>
    <definedName localSheetId="1" name="BExY3HOSK7YI364K15OX70AVR6F1">#REF!</definedName>
    <definedName name="BExH3E9HZ3QJCDZW7WI7YACFQCHE">#REF!</definedName>
    <definedName name="BEx5BHSQ42B50IU1TEQFUXFX9XQD">#REF!</definedName>
    <definedName name="BExAZCNEGB4JYHC8CZ51KTN890US">#REF!</definedName>
    <definedName localSheetId="1" name="BEx97MNUZQ1Z0AO2FL7XQYVNCPR7">#REF!</definedName>
    <definedName name="BEx7741OUGLA0WJQLQRUJSL4DE00">#REF!</definedName>
    <definedName name="BEx9952469XMFGSPXL7CMXHPJF90">#REF!</definedName>
    <definedName localSheetId="1" name="BEx1SVNCHNANBJIDIQVB8AFK4HAN">#REF!</definedName>
    <definedName localSheetId="1" name="BExQK1HV6SQQ7CP8H8IUKI9TYXTD">#REF!</definedName>
    <definedName localSheetId="1" name="BExZY02V77YJBMODJSWZOYCMPS5X">#REF!</definedName>
    <definedName name="BExU76ZHCJM8I7VSICCMSTC33O6U">#REF!</definedName>
    <definedName localSheetId="1" name="XRefPaste105">#REF!</definedName>
    <definedName localSheetId="1" name="BExII1KN91Q7DLW0UB7W2TJ5ACT9">#REF!</definedName>
    <definedName name="BExGYGJJJ3BBCQAOA51WHP01HN73">#REF!</definedName>
    <definedName name="BEx1OLAZ915OGYWP0QP1QQWDLCRX">#REF!</definedName>
    <definedName localSheetId="1" name="BExKRVUSQ6PA7ZYQSTEQL3X7PB9P">#REF!</definedName>
    <definedName name="BExCZJ4P8WS0BDT31WDXI0ROE7D6">#REF!</definedName>
    <definedName name="BExVV5T14N2HZIK7HQ4P2KG09U0J">#REF!</definedName>
    <definedName localSheetId="1" name="BExXTL72MKEQSQH9L2OTFLU8DM2B">#REF!</definedName>
    <definedName name="BExBDBZQLTX3OGFYGULQFK5WEZU5">#REF!</definedName>
    <definedName name="BEx1SSNEZINBJT29QVS62VS1THT4">#REF!</definedName>
    <definedName name="BEx7KSAS8BZT6H8OQCZ5DNSTMO07">#REF!</definedName>
    <definedName name="BEx5HJZ9FAVNZSSBTAYRPZDYM9NU">#REF!</definedName>
    <definedName localSheetId="1" name="XRefCopy21">#REF!</definedName>
    <definedName name="BExW4GPW71EBF8XPS2QGVQHBCDX3">#REF!</definedName>
    <definedName name="BEx1M51HHDYGIT8PON7U8ICL2S95">#REF!</definedName>
    <definedName name="_30__123Graph_BCHART_9">#REF!</definedName>
    <definedName localSheetId="1" name="BExQHZBHVN2L4HC7ACTR73T5OCV0">#REF!</definedName>
    <definedName name="BExY5ERVGL3UM2MGT8LJ0XPKTZEK">#REF!</definedName>
    <definedName localSheetId="1" name="XRefPaste15">#REF!</definedName>
    <definedName name="BEx5B825RW35M5H0UB2IZGGRS4ER">#REF!</definedName>
    <definedName localSheetId="1" name="BExOBIPU8760ITY0C8N27XZ3KWEF">#REF!</definedName>
    <definedName localSheetId="1" name="BExW8T0GVY3ZYO4ACSBLHS8SH895">#REF!</definedName>
    <definedName name="BEx7HWGE2CANG5M17X4C8YNC3N8F">#REF!</definedName>
    <definedName localSheetId="1" name="BEx3QSWT2S5KWG6U2V9711IYDQBM">#REF!</definedName>
    <definedName name="BEx3FJ9MHSLDK8W91GO85FX1GX57">#REF!</definedName>
    <definedName name="BExY5986WNAD8NFCPXC9TVLBU4FG">#REF!</definedName>
    <definedName localSheetId="1" name="BEx3M1MR1K1NQD03H74BFWOK4MWQ">#REF!</definedName>
    <definedName localSheetId="1" name="XRefCopy18">#REF!</definedName>
    <definedName localSheetId="1" name="BEx0313GRLLASDTVPW5DHTXHE74M">#REF!</definedName>
    <definedName name="BExB8QPH8DC5BESEVPSMBCWVN6PO">#REF!</definedName>
    <definedName localSheetId="1" name="BEx3GMJ1Y6UU02DLRL0QXCEKDA6C">#REF!</definedName>
    <definedName localSheetId="1" name="BExXZHJ9T2JELF12CHHGD54J1B0C">#REF!</definedName>
    <definedName localSheetId="1" name="BExJ0DYJWXGE7DA39PYL3WM05U9O">#REF!</definedName>
    <definedName name="BExAZUS4A8OHDZK0MWAOCCCKTH73">#REF!</definedName>
    <definedName name="BExSI0K2YL3HTCQAD8A7TR4QCUR6">#REF!</definedName>
    <definedName localSheetId="1" name="XRefPaste106Row">#REF!</definedName>
    <definedName localSheetId="1" name="BExB5G6EH68AYEP1UT0GHUEL3SLN">#REF!</definedName>
    <definedName localSheetId="1" name="BEx7AVCX9S5RJP3NSZ4QM4E6ERDT">#REF!</definedName>
    <definedName localSheetId="1" name="BExF3QD55TIY1MSBSRK9TUJKBEWO">#REF!</definedName>
    <definedName localSheetId="1" name="BEx5DJIZBTNS011R9IIG2OQ2L6ZX">#REF!</definedName>
    <definedName localSheetId="1" name="BExIORFDXP4AVIEBLSTZ8ETSXMNM">#REF!</definedName>
    <definedName localSheetId="1" name="BExU4I148DA7PRCCISLWQ6ABXFK6">#REF!</definedName>
    <definedName name="XRefPaste31Row">#REF!</definedName>
    <definedName name="BExEVZSJWMZ5L2ZE7AZC57CXKW6T">#REF!</definedName>
    <definedName localSheetId="1" name="BEx5N4XI4PWB1W9PMZ4O5R0HWTYD">#REF!</definedName>
    <definedName name="BExXU6XDTT7RM93KILIDEYPA9XKF">#REF!</definedName>
    <definedName name="_37__123Graph_COP75_25PRICE">#REF!</definedName>
    <definedName name="BEx5CFYQ0F1Z6P8SCVJ0I3UPVFE4">#REF!</definedName>
    <definedName name="BExAYE6LNIEBR9DSNI5JGNITGKIT">#REF!</definedName>
    <definedName name="BExU5X4OX1V1XHS6WSSORVQPP6Z3">#REF!</definedName>
    <definedName name="BEx3AOOVM42G82TNF53W0EKXLUSI">#REF!</definedName>
    <definedName name="XRefPaste131">#REF!</definedName>
    <definedName localSheetId="1" name="BEx9E14TDNSEMI784W0OTIEQMWN6">#REF!</definedName>
    <definedName name="XRefPaste26Row">#REF!</definedName>
    <definedName localSheetId="1" name="BExF7OVDRP3LHNAF2CX4V84CKKIR">#REF!</definedName>
    <definedName localSheetId="1" name="BExVTCRV8FQ5U9OYWWL44N6KFNHU">#REF!</definedName>
    <definedName localSheetId="1" name="BEx5H1UJSEUQM2K8QHQXO5THVHSO">#REF!</definedName>
    <definedName name="BExOPFNYRBL0BFM23LZBJTADNOE4">#REF!</definedName>
    <definedName localSheetId="1" name="XRefPaste69Row">#REF!</definedName>
    <definedName localSheetId="1" name="BEx3H5UX2GZFZZT657YR76RHW5I6">#REF!</definedName>
    <definedName localSheetId="1" name="XRefCopy18Row">#REF!</definedName>
    <definedName name="BExU0ZUUFYHLUK4M4E8GLGIBBNT0">#REF!</definedName>
    <definedName localSheetId="1" name="BEx3UKOCOQG7S1YQ436S997K1KWV">#REF!</definedName>
    <definedName name="BExEUNE4T242Y59C6MS28MXEUGCP">#REF!</definedName>
    <definedName name="BExIOCQUQHKUU1KONGSDOLQTQEIC">#REF!</definedName>
    <definedName localSheetId="1" name="BExU3B66MCKJFSKT3HL8B5EJGVX0">#REF!</definedName>
    <definedName localSheetId="1" name="BExSH8ZHA4WJJ2FDU0IE6I9CL5T9">#REF!</definedName>
    <definedName localSheetId="1" name="BExEVWCKO8T84GW9Z3X47915XKSH">#REF!</definedName>
    <definedName localSheetId="1" name="XRefPaste23">#REF!</definedName>
    <definedName name="BExMRENOIARWRYOIVPDIEBVNRDO7">#REF!</definedName>
    <definedName localSheetId="1" name="BExQ19DEUOLC11IW32E2AMVZLFF1">#REF!</definedName>
    <definedName name="BExOMVT0HSNC59DJP4CLISASGHKL">#REF!</definedName>
    <definedName localSheetId="1" name="BExF3I9T44X7DV9HHV51DVDDPPZG">#REF!</definedName>
    <definedName localSheetId="1" name="_47__123Graph_EOP75_25RETURN">#REF!</definedName>
    <definedName name="BExIVCXWL6H5LD9DHDIA4F5U9TQL">#REF!</definedName>
    <definedName name="BExOLICXFHJLILCJVFMJE5MGGWKR">#REF!</definedName>
    <definedName localSheetId="1" name="XRefCopy15Row">#REF!</definedName>
    <definedName name="BEx5ER4TJTFPN7IB1MNEB1ZFR5M6">#REF!</definedName>
    <definedName name="BEx91VF2D78PAF337E3L2L81K9W2">#REF!</definedName>
    <definedName name="BExY0XTZLHN49J2JH94BYTKBJLT3">#REF!</definedName>
    <definedName localSheetId="1" name="XRefPaste101Row">#REF!</definedName>
    <definedName localSheetId="1" name="BExZSI9USDLZAN8LI8M4YYQL24GZ">#REF!</definedName>
    <definedName name="BExCU2834920JBHSPCRC4UF80OLL">#REF!</definedName>
    <definedName localSheetId="1" name="BEx9AV8W1FAWF5BHATYEN47X12JN">#REF!</definedName>
    <definedName localSheetId="1" name="BEx779QNIY3061ZV9BR462WKEGRW">#REF!</definedName>
    <definedName name="BExW1U0JLKQ094DW5MMOI8UHO09V">#REF!</definedName>
    <definedName name="BExD5FRK547OESJRYAW574DZEZ7J">#REF!</definedName>
    <definedName name="BExGX9DVACJQIZ4GH6YAD2A7F70O">#REF!</definedName>
    <definedName localSheetId="1" name="BExMEY09ESM4H2YGKEQQRYUD114R">#REF!</definedName>
    <definedName localSheetId="1" name="BExO9RS5RXFJ1911HL3CCK6M74EP">#REF!</definedName>
    <definedName localSheetId="1" name="Swvu.ESTOQUES.">#REF!</definedName>
    <definedName name="BExAZNL6BHI8DCQWXOX4I2P839UX">#REF!</definedName>
    <definedName localSheetId="1" name="XRefPaste28">#REF!</definedName>
    <definedName localSheetId="1" name="BExQH0UURAJ13AVO5UI04HSRGVYW">#REF!</definedName>
    <definedName localSheetId="1" name="_41__123Graph_DO_MPRICE">#REF!</definedName>
    <definedName name="XRefCopy50">#REF!</definedName>
    <definedName localSheetId="1" name="_Sort">#REF!</definedName>
    <definedName name="BExKNCTBZTSY3MO42VU5PLV6YUHZ">#REF!</definedName>
    <definedName name="BExQBIGGY5TXI2FJVVZSLZ0LTZYH">#REF!</definedName>
    <definedName name="BExU529I6YHVOG83TJHWSILIQU1S">#REF!</definedName>
    <definedName name="BExVTNESHPVG0A0KZ7BRX26MS0PF">#REF!</definedName>
    <definedName localSheetId="1" name="BExXWBNE4KTFSXKVSRF6WX039WPB">#REF!</definedName>
    <definedName name="BExGVWDUGFUW9ZCOL9P24KF7NIF7">#REF!</definedName>
    <definedName name="BEx3OXRYJZUEY6E72UJU0PHLMYAR">#REF!</definedName>
    <definedName localSheetId="1" name="BExAZNL6BHI8DCQWXOX4I2P839UX">#REF!</definedName>
    <definedName name="BExD3F368X5S25MWSUNIV57RDB57">#REF!</definedName>
    <definedName localSheetId="1" name="BExTXT812NQT8GAEGH738U29BI0D">#REF!</definedName>
    <definedName localSheetId="1" name="BEx3DCQU9PBRXIMLO62KS5RLH447">#REF!</definedName>
    <definedName name="BExKQTXRG3ECU8NT47UR7643LO5G">#REF!</definedName>
    <definedName name="BExMNKCJ0FA57YEUUAJE43U1QN5P">#REF!</definedName>
    <definedName localSheetId="1" name="XRefCopy44Row">#REF!</definedName>
    <definedName name="BExTVGPIQZ99YFXUC8OONUX5BD42">#REF!</definedName>
    <definedName localSheetId="1" name="BExUC8WH8TCKBB5313JGYYQ1WFLT">#REF!</definedName>
    <definedName name="BEx9GDY4D8ZPQJCYFIMYM0V0C51Y">#REF!</definedName>
    <definedName localSheetId="1" name="BExXZNJ2X1TK2LRK5ZY3MX49H5T7">#REF!</definedName>
    <definedName name="BExQ8G0K46ZORA0QVQTDI7Z8LXGF">#REF!</definedName>
    <definedName name="BExD085KGO96YV2B9USVPFOE2AQS">#REF!</definedName>
    <definedName localSheetId="1" name="BEx5BKSM4UN4C1DM3EYKM79MRC5K">#REF!</definedName>
    <definedName localSheetId="1" name="BExOMVT0HSNC59DJP4CLISASGHKL">#REF!</definedName>
    <definedName name="BExXTHLRNL82GN7KZY3TOLO508N7">#REF!</definedName>
    <definedName localSheetId="1" name="BExXLQVPK2H3IF0NDDA5CT612EUK">#REF!</definedName>
    <definedName localSheetId="1" name="BExUAX8WS5OPVLCDXRGKTU2QMTFO">#REF!</definedName>
    <definedName name="BExTTZNS2PBCR93C9IUW49UZ4I6T">#REF!</definedName>
    <definedName name="BEx3QIKJ3U962US1Q564NZDLU8LD">#REF!</definedName>
    <definedName localSheetId="1" name="_Table2_Out">#REF!</definedName>
    <definedName localSheetId="1" name="BEx9IW5MFLXTVCJHVUZTUH93AXOS">#REF!</definedName>
    <definedName localSheetId="1" name="XRefPaste31Row">#REF!</definedName>
    <definedName name="BExO85HMYXZJ7SONWBKKIAXMCI3C">#REF!</definedName>
    <definedName localSheetId="1" name="BExSDP5Y04WWMX2WWRITWOX8R5I9">#REF!</definedName>
    <definedName localSheetId="1" name="BEx5B5YMSWP0OVI5CIQRP5V18D0C">#REF!</definedName>
    <definedName name="BExTYKCEFJ83LZM95M1V7CSFQVEA">#REF!</definedName>
    <definedName localSheetId="1" name="BExOAQ3GKCT7YZW1EMVU3EILSZL2">#REF!</definedName>
    <definedName name="BExD4BR9HJ3MWWZ5KLVZWX9FJAUS">#REF!</definedName>
    <definedName localSheetId="1" name="BExZKHYORG3O8C772XPFHM1N8T80">#REF!</definedName>
    <definedName name="BExMPAJ5AJAXGKGK3F6H3ODS6RF4">#REF!</definedName>
    <definedName name="BExZKJRF2IRR57DG9CLC7MSHWNNN">#REF!</definedName>
    <definedName name="BExKEW0RR5LA3VC46A2BEOOMQE56">#REF!</definedName>
    <definedName name="BEx1Y3PKK83X2FN9SAALFHOWKMRQ">#REF!</definedName>
    <definedName localSheetId="1" name="XRefCopy34">#REF!</definedName>
    <definedName name="BEx5CEM3SYF9XP0ZZVE0GEPCLV3F">#REF!</definedName>
    <definedName name="BExXUB9RSLSCNN5ETLXY72DAPZZM">#REF!</definedName>
    <definedName localSheetId="1" name="BExU0HKTO8WJDQDWRTUK5TETM3HS">#REF!</definedName>
    <definedName name="BEx3SICJ45BYT6FHBER86PJT25FC">#REF!</definedName>
    <definedName name="BEx5MVXTKNBXHNWTL43C670E4KXC">#REF!</definedName>
    <definedName name="BExIIYJAGXR8TPZ1KCYM7EGJ79UW">#REF!</definedName>
    <definedName name="BExEYUQJXZT6N5HJH8ACJF6SRWEE">#REF!</definedName>
    <definedName localSheetId="1" name="BExO66LZJKY4PTQVREELI6POS4AY">#REF!</definedName>
    <definedName localSheetId="1" name="BExQBDICMZTSA1X73TMHNO4JSFLN">#REF!</definedName>
    <definedName localSheetId="1" name="BEx7D8H1TPOX1UN17QZYEV7Q58GA">#REF!</definedName>
    <definedName name="BEx7A06T3RC2891FUX05G3QPRAUE">#REF!</definedName>
    <definedName name="BExXWVFIBQT8OY1O41FRFPFGXQHK">#REF!</definedName>
    <definedName name="BExSDT20XUFXTDM37M148AXAP7HN">#REF!</definedName>
    <definedName localSheetId="1" name="BEx9F0Y2ESUNE3U7TQDLMPE9BO67">#REF!</definedName>
    <definedName name="BExQDXDACOG57N3GO9O70MFLP0QK">#REF!</definedName>
    <definedName localSheetId="1" name="BExF1M38U6NX17YJA8YU359B5Z4M">#REF!</definedName>
    <definedName name="BEx774N83DXLJZ54Q42PWIJZ2DN1">#REF!</definedName>
    <definedName localSheetId="1" name="BExCUPAXFR16YMWL30ME3F3BSRDZ">#REF!</definedName>
    <definedName name="BEx5JQCNT9Y4RM306CHC8IPY3HBZ">#REF!</definedName>
    <definedName localSheetId="1" name="BEx59BA1KH3RG6K1LHL7YS2VB79N">#REF!</definedName>
    <definedName localSheetId="1" name="BExXVKZ9WXPGL6IVY6T61IDD771I">#REF!</definedName>
    <definedName name="BExCZPKLQOOGP2OJO0XZ1SDGJ4AR">#REF!</definedName>
    <definedName localSheetId="1" name="BExERRUIKIOATPZ9U4HQ0V52RJAU">#REF!</definedName>
    <definedName name="XRefPaste102Row">#REF!</definedName>
    <definedName localSheetId="1" name="BExIUTB5OAAXYW0OFMP0PS40SPOB">#REF!</definedName>
    <definedName localSheetId="1" name="BEx3L60DJOR7NQN42G7YSAODP1EX">#REF!</definedName>
    <definedName localSheetId="1" name="_45__123Graph_EO_MPRICE">#REF!</definedName>
    <definedName name="BExW283NP9D366XFPXLGSCI5UB0L">#REF!</definedName>
    <definedName name="BExZZCHAVHW8C2H649KRGVQ0WVRT">#REF!</definedName>
    <definedName localSheetId="1" name="BExXXH5N3NKBQ7BCJPJTBF8CYM2Q">#REF!</definedName>
    <definedName localSheetId="1" name="BEx3FX7EJL47JSLSWP3EOC265WAE">#REF!</definedName>
    <definedName localSheetId="1" name="BExW95LN5N0LYFFVP7GJEGDVDLF0">#REF!</definedName>
    <definedName name="XRefCopy58">#REF!</definedName>
    <definedName name="BEx93SY9RWG3HUV4YXQKXJH9FH14">#REF!</definedName>
    <definedName localSheetId="1" name="BExF6IB8K74Z0AFT05GPOKKZW7C9">#REF!</definedName>
    <definedName name="BExGYOS6TV2C72PLRFU8RP1I58GY">#REF!</definedName>
    <definedName localSheetId="1" name="BExF5HR2GFV7O8LKG9SJ4BY78LYA">#REF!</definedName>
    <definedName name="BEx00DXTY2JDVGWQKV8H7FG4SV30">#REF!</definedName>
    <definedName name="BEx5G1A8TFN4C4QII35U9DKYNIS8">#REF!</definedName>
    <definedName localSheetId="1" name="BEx9FJTSRCZ3ZXT3QVBJT5NF8T7V">#REF!</definedName>
    <definedName name="BEx5A7CIGCOTHJKHGUBDZG91JGPZ">#REF!</definedName>
    <definedName localSheetId="1" name="BExUAMWQODKBXMRH1QCMJLJBF8M7">#REF!</definedName>
    <definedName name="BExCYAH2SAZCPW6XCB7V7PMMCAWO">#REF!</definedName>
    <definedName localSheetId="1" name="XRefPaste14Row">#REF!</definedName>
    <definedName name="BEx1P7S1J4TKGVJ43C2Q2R3M9WRB">#REF!</definedName>
    <definedName localSheetId="1" name="BExXM065WOLYRYHGHOJE0OOFXA4M">#REF!</definedName>
    <definedName localSheetId="1" name="BEx7A9S3JA1X7FH4CFSQLTZC4691">#REF!</definedName>
    <definedName name="BExMCMZOEYWVOOJ98TBHTTCS7XB8">#REF!</definedName>
    <definedName localSheetId="1" name="XRefPaste25Row">#REF!</definedName>
    <definedName localSheetId="1" name="BEx9JLBYK239B3F841C7YG1GT7ST">#REF!</definedName>
    <definedName localSheetId="1" name="BExS194110MR25BYJI3CJ2EGZ8XT">#REF!</definedName>
    <definedName name="BExGMJDGIH0MEPC2TUSFUCY2ROTB">#REF!</definedName>
    <definedName name="BExD7IE1DHIS52UFDCTSKPJQNRD5">#REF!</definedName>
    <definedName name="BExXRIFB4QQ87QIGA9AG0NXP577K">#REF!</definedName>
    <definedName name="BExXQXQT4OAFQT5B0YB3USDJOJOB">#REF!</definedName>
    <definedName name="BExKCDYKAEV45AFXHVHZZ62E5BM3">#REF!</definedName>
    <definedName localSheetId="1" name="BEx5LRMNU3HXIE1BUMDHRU31F7JJ">#REF!</definedName>
    <definedName localSheetId="1" name="BEx3ELJTTBS6P05CNISMGOJOA60V">#REF!</definedName>
    <definedName name="BExXPS31W1VD2NMIE4E37LHVDF0L">#REF!</definedName>
    <definedName localSheetId="1" name="BExCZFZCXMLY5DWESYJ9NGTJYQ8M">#REF!</definedName>
    <definedName localSheetId="1" name="BEx9IQRF01ATLVK0YE60ARKQJ68L">#REF!</definedName>
    <definedName name="BEx9175B70QXYAU5A8DJPGZQ46L9">#REF!</definedName>
    <definedName localSheetId="1" name="SFLKKLNDFZ">#REF!</definedName>
    <definedName localSheetId="1" name="BExKGF0L44S78D33WMQ1A75TRKB9">#REF!</definedName>
    <definedName name="BEx75HGCCV5K4UCJWYV8EV9AG5YT">#REF!</definedName>
    <definedName localSheetId="1" name="BExQFWJQXNQAW6LUMOEDS6KMJMYL">#REF!</definedName>
    <definedName localSheetId="1" name="BExME88DH5DUKMUFI9FNVECXFD2E">#REF!</definedName>
    <definedName name="XRefPaste59">#REF!</definedName>
    <definedName name="BExD7KSDKNDNH95NDT3S7GM3MUU2">#REF!</definedName>
    <definedName localSheetId="1" name="BExML3XQNDIMX55ZCHHXKUV3D6E6">#REF!</definedName>
    <definedName name="BEx78SFOYH1Z0ZDTO47W2M60TW6K">#REF!</definedName>
    <definedName name="BEx94IQ75E90YUMWJ9N591LR7DQQ">#REF!</definedName>
    <definedName localSheetId="1" name="BExTUSQCFFYZCDNHWHADBC2E1ZP1">#REF!</definedName>
    <definedName localSheetId="1" name="BExXPS31W1VD2NMIE4E37LHVDF0L">#REF!</definedName>
    <definedName name="BExXV6FWG4H3S2QEUJZYIXILNGJ7">#REF!</definedName>
    <definedName name="_36__123Graph_LBL_ACHART_3">#REF!</definedName>
    <definedName name="BExVSTFTVV14SFGHQUOJL5SQ5TX9">#REF!</definedName>
    <definedName localSheetId="1" name="BExVY11V7U1SAY4QKYE0PBSPD7LW">#REF!</definedName>
    <definedName localSheetId="1" name="_24__123Graph_BCHART_11">#REF!</definedName>
    <definedName localSheetId="1" name="BExD3U2N041TEJ7GCN005UTPHNXY">#REF!</definedName>
    <definedName name="BExOJ7XQK71I4YZDD29AKOOWZ47E">#REF!</definedName>
    <definedName localSheetId="1" name="BExAYPPWJPWDKU59O051WMGB7O0J">#REF!</definedName>
    <definedName localSheetId="1" name="BExIPG040Q08EWIWL6CAVR3GRI43">#REF!</definedName>
    <definedName name="BExS5L3TGB8JVW9ROYWTKYTUPW27">#REF!</definedName>
    <definedName localSheetId="1" name="BExY5515SJTJS3VM80M3YYR0WF37">#REF!</definedName>
    <definedName name="BExVWINKCH0V0NUWH363SMXAZE62">#REF!</definedName>
    <definedName localSheetId="1" name="BExF3JMFX5DILOIFUDIO1HZUK875">#REF!</definedName>
    <definedName name="BExQDB6VCHN8PNX8EA6JNIEQ2JC2">#REF!</definedName>
    <definedName localSheetId="1" name="XRefCopy7">#REF!</definedName>
    <definedName localSheetId="1" name="BEx5DC18JM1KJCV44PF18E0LNRKA">#REF!</definedName>
    <definedName name="BExTZ97Y0RMR8V5BI9F2H4MFB77O">#REF!</definedName>
    <definedName name="XRefPaste108">#REF!</definedName>
    <definedName name="BExQFPNFKA36IAPS22LAUMBDI4KE">#REF!</definedName>
    <definedName name="BExH0O9G06YPZ5TN9RYT326I1CP2">#REF!</definedName>
    <definedName localSheetId="1" name="BExGYC718HTZ80PNKYPVIYGRJVF6">#REF!</definedName>
    <definedName localSheetId="1" name="BExER2O72H1F9WV6S1J04C15PXX7">#REF!</definedName>
    <definedName name="BExIJQK80ZEKSTV62E59AYJYUNLI">#REF!</definedName>
    <definedName localSheetId="1" name="BEx1R9YFKJCMSEST8OVCAO5E47FO">#REF!</definedName>
    <definedName localSheetId="1" name="XRefPaste121">#REF!</definedName>
    <definedName name="XRefCopy39">#REF!</definedName>
    <definedName name="BExIQE65LVXUOF3UZFO7SDHFJH22">#REF!</definedName>
    <definedName localSheetId="1" name="BExZUSZT5496UMBP4LFSLTR1GVEW">#REF!</definedName>
    <definedName name="BExF81GI8B8WBHXFTET68A9358BR">#REF!</definedName>
    <definedName localSheetId="1" name="BExF4SF9NEX1FZE9N8EXT89PM54D">#REF!</definedName>
    <definedName name="BEx1L6Q60MWRDJB4L20LK0XPA0Z2">#REF!</definedName>
    <definedName name="BExY5DF9MS25IFNWGJ1YAS5MDN8R">#REF!</definedName>
    <definedName name="ACwvu.AFAC.">#REF!</definedName>
    <definedName name="BExKSFMOMSZYDE0WNC94F40S6636">#REF!</definedName>
    <definedName localSheetId="1" name="BExAW4IIW5D0MDY6TJ3G4FOLPYIR">#REF!</definedName>
    <definedName localSheetId="1" name="BExD14DETV5R4OOTMAXD5NAKWRO3">#REF!</definedName>
    <definedName localSheetId="1" name="BExQJJYSDX8B0J1QGF2HL071KKA3">#REF!</definedName>
    <definedName name="BExGSQY65LH1PCKKM5WHDW83F35O">#REF!</definedName>
    <definedName name="BExVY1SV37DL5YU59HS4IG3VBCP4">#REF!</definedName>
    <definedName localSheetId="1" name="BExZOREMVSK4E5VSWM838KHUB8AI">#REF!</definedName>
    <definedName name="BExH2XS1UFYFGU0S0EBXX90W2WE8">#REF!</definedName>
    <definedName localSheetId="1" name="BEx7KXUGRMRSUXCM97Z7VRZQ9JH2">#REF!</definedName>
    <definedName name="XRefPaste64Row">#REF!</definedName>
    <definedName name="BEx3QR9D45DHW50VQ7Y3Q1AXPOB9">#REF!</definedName>
    <definedName localSheetId="1" name="BExESMKD95A649M0WRSG6CXXP326">#REF!</definedName>
    <definedName localSheetId="1" name="BExXU4J2BM2964GD5UZHM752Q4NS">#REF!</definedName>
    <definedName name="BEx7DVJTRV44IMJIBFXELE67SZ7S">#REF!</definedName>
    <definedName localSheetId="1" name="BExB203OWC9QZA3BYOKQ18L4FUJE">#REF!</definedName>
    <definedName name="BExISDHXS49S1H56ENBPRF1NLD5C">#REF!</definedName>
    <definedName name="BEx7ABA2C9IWH5VSLVLLLCY62161">#REF!</definedName>
    <definedName name="BExKGJD3U3ADZILP20U3EURP0UQP">#REF!</definedName>
    <definedName localSheetId="1" name="XRefCopy118">#REF!</definedName>
    <definedName localSheetId="1" name="XRefPaste39">#REF!</definedName>
    <definedName localSheetId="1" name="BExXR3W3FKYQBLR299HO9RZ70C43">#REF!</definedName>
    <definedName name="BExIJRLX3M0YQLU1D5Y9V7HM5QNM">#REF!</definedName>
    <definedName localSheetId="1" name="BExS0GHQUF6YT0RU3TKDEO8CSJYB">#REF!</definedName>
    <definedName name="BExIMPEGKG18TELVC33T4OQTNBWC">#REF!</definedName>
    <definedName localSheetId="1" name="BExGWNCXLCRTLBVMTXYJ5PHQI6SS">#REF!</definedName>
    <definedName localSheetId="1" name="XRefCopy19Row">#REF!</definedName>
    <definedName localSheetId="1" name="ACwvu.RES432.">#REF!</definedName>
    <definedName name="BEx5A8UFLT2SWVSG5COFA9B8P376">#REF!</definedName>
    <definedName name="BExMCS8EF2W3FS9QADNKREYSI8P0">#REF!</definedName>
    <definedName name="BExMDIRDK0DI8P86HB7WPH8QWLSQ">#REF!</definedName>
    <definedName name="_40__123Graph_DHO_MPRICE">#REF!</definedName>
    <definedName localSheetId="1" name="BEx3MREOFWJQEYMCMBL7ZE06NBN6">#REF!</definedName>
    <definedName name="BExD4R1I0MKF033I5LPUYIMTZ6E8">#REF!</definedName>
    <definedName name="BExUAX8WS5OPVLCDXRGKTU2QMTFO">#REF!</definedName>
    <definedName name="BExVPRLJ9I6RX45EDVFSQGCPJSOK">#REF!</definedName>
    <definedName name="BExGQX0H4EZMXBJTKJJE4ICJWN5O">#REF!</definedName>
    <definedName localSheetId="1" name="BExXRZ20LZZCW8LVGDK0XETOTSAI">#REF!</definedName>
    <definedName localSheetId="1" name="BExAZMDYMIAA7RX1BMCKU1VLBRGY">#REF!</definedName>
    <definedName localSheetId="1" name="BExKSX60G1MUS689FXIGYP2F7C62">#REF!</definedName>
    <definedName localSheetId="1" name="BExAZCNEGB4JYHC8CZ51KTN890US">#REF!</definedName>
    <definedName localSheetId="1" name="BEx004791UAJIJSN57OT7YBLNP82">#REF!</definedName>
    <definedName localSheetId="1" name="BExSD233CH4MU9ZMGNRF97ZV7KWU">#REF!</definedName>
    <definedName localSheetId="1" name="BEx1OTE54CBSUT8FWKRALEDCUWN4">#REF!</definedName>
    <definedName localSheetId="1" name="BExKQVL7HPOIZ4FHANDFMVOJLEPR">#REF!</definedName>
    <definedName localSheetId="1" name="XREF_COLUMN_23">#REF!</definedName>
    <definedName localSheetId="1" name="BExQ452HF7N1HYPXJXQ8WD6SOWUV">#REF!</definedName>
    <definedName localSheetId="1" name="BExB9DHI5I2TJ2LXYPM98EE81L27">#REF!</definedName>
    <definedName name="BExILGQTQM0HOD0BJI90YO7GOIN3">#REF!</definedName>
    <definedName localSheetId="1" name="BExU8KFLAN778MBN93NYZB0FV30G">#REF!</definedName>
    <definedName localSheetId="1" name="BExB4DYU06HCGRIPBSWRCXK804UM">#REF!</definedName>
    <definedName name="BExS2DF6B4ZUF3VZLI4G6LJ3BF38">#REF!</definedName>
    <definedName localSheetId="1" name="BExAZTFG4SJRG4TW6JXRF7N08JFI">#REF!</definedName>
    <definedName localSheetId="1" name="BExZNJYCFYVMAOI62GB2BABK1ELE">#REF!</definedName>
    <definedName localSheetId="1" name="BEx904S75BPRYMHF0083JF7ES4NG">#REF!</definedName>
    <definedName name="BExQ300G8I8TK45A0MVHV15422EU">#REF!</definedName>
    <definedName localSheetId="1" name="BEx3PVXYZC8WB9ZJE7OCKUXZ46EA">#REF!</definedName>
    <definedName localSheetId="1" name="BExSIFUDNRWXWIWNGCCFOOD8WIAZ">#REF!</definedName>
    <definedName name="BExTZY8TDV4U7FQL7O10G6VKWKPJ">#REF!</definedName>
    <definedName localSheetId="1" name="XRefPaste1">#REF!</definedName>
    <definedName name="BExIJV22J0QA7286KNPMHO1ZUCB3">#REF!</definedName>
    <definedName localSheetId="1" name="BExRYOYB4A3E5F6MTROY69LR0PMG">#REF!</definedName>
    <definedName name="BExF3NTC4BGZEM6B87TCFX277QCS">#REF!</definedName>
    <definedName name="BExD40O0CFTNJFOFMMM1KH0P7BUI">#REF!</definedName>
    <definedName name="BExMEOV9YFRY5C3GDLU60GIX10BY">#REF!</definedName>
    <definedName name="BEx5JNCT8Z7XSSPD5EMNAJELCU2V">#REF!</definedName>
    <definedName localSheetId="1" name="BEx73V0EP8EMNRC3EZJJKKVKWQVB">#REF!</definedName>
    <definedName localSheetId="1" name="BExU4L101H2KQHVKCKQ4PBAWZV6K">#REF!</definedName>
    <definedName localSheetId="1" name="BExUDEV0CYVO7Y5IQQBEJ6FUY9S6">#REF!</definedName>
    <definedName localSheetId="1" name="BExGY8G88PVVRYHPHRPJZFSX6HSC">#REF!</definedName>
    <definedName localSheetId="1" name="BExB5U9IRH14EMOE0YGIE3WIVLFS">#REF!</definedName>
    <definedName name="BExTVELZCF2YA5L6F23BYZZR6WHF">#REF!</definedName>
    <definedName name="BExSAAVWQOOIA6B3JHQVGP08HFEM">#REF!</definedName>
    <definedName localSheetId="1" name="BEx7EAZFO7YE0E2KFDBDYO6I16AG">#REF!</definedName>
    <definedName localSheetId="1" name="BExBG1ED81J2O4A2S5F5Y3BPHMCR">#REF!</definedName>
    <definedName localSheetId="1" name="BExGTIYX3OWPIINOGY1E4QQYSKHP">#REF!</definedName>
    <definedName localSheetId="1" name="BExXVK87BMMO6LHKV0CFDNIQVIBS">#REF!</definedName>
    <definedName name="BExVVQ19TAECID45CS4HXT1RD3AQ">#REF!</definedName>
    <definedName name="BExZRWJP2BUVFJPO8U8ATQEP0LZU">#REF!</definedName>
    <definedName localSheetId="1" name="BEx3L4YQ0J7ZU0M5QM6YIPCEYC9K">#REF!</definedName>
    <definedName localSheetId="1" name="BEx1NQVS5U8X1COG4U87LKV617ZG">#REF!</definedName>
    <definedName localSheetId="1" name="BExMOI29DOEK5R1A5QZPUDKF7N6T">#REF!</definedName>
    <definedName name="BEx91QH5JRZKQP1GPN2SQMR3CKAG">#REF!</definedName>
    <definedName localSheetId="1" name="XRefCopy62Row">#REF!</definedName>
    <definedName localSheetId="1" name="_20__123Graph_BCHART_1">#REF!</definedName>
    <definedName name="BExBA93PE0DGUUTA7LLSIGBIXWE5">#REF!</definedName>
    <definedName name="BExETQ9XRXLUACN82805SPSPNKHI">#REF!</definedName>
    <definedName localSheetId="1" name="BEx9I8XIG7E5NB48QQHXP23FIN60">#REF!</definedName>
    <definedName name="XRefCopy17Row">#REF!</definedName>
    <definedName name="BExXYMNYAYH3WA2ZCFAYKZID9ZCI">#REF!</definedName>
    <definedName localSheetId="1" name="BEx3KEFXUCVNVPH7KSEGAZYX13B5">#REF!</definedName>
    <definedName name="BEx3O19B8FTTAPVT5DZXQGQXWFR8">#REF!</definedName>
    <definedName name="BExXSTBS08WIA9TLALV3UQ2Z3MRG">#REF!</definedName>
    <definedName localSheetId="1" name="BEx5G8BV2GIOCM3C7IUFK8L04A6M">#REF!</definedName>
    <definedName name="BEx5HGDZ7MX1S3KNXLRL9WU565V4">#REF!</definedName>
    <definedName name="BExQKG6LD6PLNDGNGO9DJXY865BR">#REF!</definedName>
    <definedName localSheetId="1" name="BExCX3X451T70LZ1VF95L7W4Y4TM">#REF!</definedName>
    <definedName name="BExKGF0L44S78D33WMQ1A75TRKB9">#REF!</definedName>
    <definedName localSheetId="1" name="BExF0WRM9VO25RLSO03ZOCE8H7K5">#REF!</definedName>
    <definedName name="XREF_COLUMN_9">#REF!</definedName>
    <definedName localSheetId="1" name="BExMKTW7R5SOV4PHAFGHU3W73DYE">#REF!</definedName>
    <definedName localSheetId="1" name="BEx7JH3HGBPI07OHZ5LFYK0UFZQR">#REF!</definedName>
    <definedName name="BExB442RX0T3L6HUL6X5T21CENW6">#REF!</definedName>
    <definedName name="BExXXH5N3NKBQ7BCJPJTBF8CYM2Q">#REF!</definedName>
    <definedName localSheetId="1" name="BExSA5HP306TN9XJS0TU619DLRR7">#REF!</definedName>
    <definedName name="BEx5IC06RVN8BSAEPREVKHKLCJ2L">#REF!</definedName>
    <definedName name="BExVTTJVTNRSBHBTUZ78WG2JM5MK">#REF!</definedName>
    <definedName name="BExW794A74Z5F2K8LVQLD6VSKXUE">#REF!</definedName>
    <definedName localSheetId="1" name="XREF_COLUMN_5">#REF!</definedName>
    <definedName localSheetId="1" name="BEx5HE4XRF9BUY04MENWY9CHHN5H">#REF!</definedName>
    <definedName localSheetId="1" name="BExZMF1MMTZ1TA14PZ8ASSU2CBSP">#REF!</definedName>
    <definedName localSheetId="1" name="BExB6HN3QRFPXM71MDUK21BKM7PF">#REF!</definedName>
    <definedName name="BExMSQRCC40AP8BDUPL2I2DNC210">#REF!</definedName>
    <definedName name="BExO937E20IHMGQOZMECL3VZC7OX">#REF!</definedName>
    <definedName name="BExOAXW0QAMFHYD9EEFK5LDD8C3C">#REF!</definedName>
    <definedName localSheetId="1" name="BExTV67VIM8PV6KO253M4DUBJQLC">#REF!</definedName>
    <definedName localSheetId="1" name="BEx5I8PBP4LIXDGID5BP0THLO0AQ">#REF!</definedName>
    <definedName localSheetId="1" name="BExGMPIIP8GKML2VVA8OEFL43NCS">#REF!</definedName>
    <definedName name="_19__123Graph_ACHART_3">#REF!</definedName>
    <definedName localSheetId="1" name="BExGSA5YB5ZGE4NHDVCZ55TQAJTL">#REF!</definedName>
    <definedName localSheetId="1" name="BEx94GXG30CIVB6ZQN3X3IK6BZXQ">#REF!</definedName>
    <definedName name="BExQD571YWOXKR2SX85K5MKQ0AO2">#REF!</definedName>
    <definedName name="BEx5LRMNU3HXIE1BUMDHRU31F7JJ">#REF!</definedName>
    <definedName name="BExUDXAIC17W1FUU8Z10XUAVB7CS">#REF!</definedName>
    <definedName name="BExUDWOXQGIZW0EAIIYLQUPXF8YV">#REF!</definedName>
    <definedName localSheetId="1" name="BEx7DVJTRV44IMJIBFXELE67SZ7S">#REF!</definedName>
    <definedName localSheetId="1" name="BExB8QPH8DC5BESEVPSMBCWVN6PO">#REF!</definedName>
    <definedName name="BExIL0PMZ2SXK9R6MLP43KBU1J2P">#REF!</definedName>
    <definedName name="XRefCopy7">#REF!</definedName>
    <definedName name="BEx1QA54J2A4I7IBQR19BTY28ZMR">#REF!</definedName>
    <definedName localSheetId="1" name="BEx93SY9RWG3HUV4YXQKXJH9FH14">#REF!</definedName>
    <definedName localSheetId="1" name="XRefPaste15Row">#REF!</definedName>
    <definedName localSheetId="1" name="BExONQZ5MLI4HQT23OM79OC1TEQV">#REF!</definedName>
    <definedName localSheetId="1" name="BExSI0K2YL3HTCQAD8A7TR4QCUR6">#REF!</definedName>
    <definedName localSheetId="1" name="XRefPaste131">#REF!</definedName>
    <definedName name="BExQC94JL9F5GW4S8DQCAF4WB2DA">#REF!</definedName>
    <definedName name="BEx5HZ9JMKHNLFWLVUB1WP5B39BL">#REF!</definedName>
    <definedName localSheetId="1" name="BExY5EX6NJFK8W754ZVZDN5DS04K">#REF!</definedName>
    <definedName name="_40__123Graph_XCHART_1">#REF!</definedName>
    <definedName localSheetId="1" name="XRefPaste138Row">#REF!</definedName>
    <definedName localSheetId="1" name="BExQ79LX01ZPQB8EGD1ZHR2VK2H3">#REF!</definedName>
    <definedName localSheetId="1" name="XRefPaste56Row">#REF!</definedName>
    <definedName localSheetId="1" name="XRefCopy4Row">#REF!</definedName>
    <definedName name="_Sort">#REF!</definedName>
    <definedName name="BExXXBM521DL8R4ZX7NZ3DBCUOR5">#REF!</definedName>
    <definedName localSheetId="1" name="BExSGOWJHRW7FWKLO2EHUOOGHNAF">#REF!</definedName>
    <definedName localSheetId="1" name="BExH12Y4WX542WI3ZEM15AK4UM9J">#REF!</definedName>
    <definedName localSheetId="1" name="BEx5JNCT8Z7XSSPD5EMNAJELCU2V">#REF!</definedName>
    <definedName localSheetId="1" name="BExOEV1S6JJVO5PP4BZ20SNGZR7D">#REF!</definedName>
    <definedName localSheetId="1" name="BExIYI2RH0K4225XO970K2IQ1E79">#REF!</definedName>
    <definedName localSheetId="1" name="BEx1OY6SVEUT2EQ26P7EKEND342G">#REF!</definedName>
    <definedName name="BEx1LDMB9RW982DUILM2WPT5VWQ3">#REF!</definedName>
    <definedName localSheetId="1" name="BExIRRBGTY01OQOI3U5SW59RFDFI">#REF!</definedName>
    <definedName name="BExXY5QFG6QP94SFT3935OBM8Y4K">#REF!</definedName>
    <definedName localSheetId="1" name="BExVZJQVO5LQ0BJH5JEN5NOBIAF6">#REF!</definedName>
    <definedName localSheetId="1" name="BEx1J7E8VCGLPYU82QXVUG5N3ZAI">#REF!</definedName>
    <definedName localSheetId="1" name="BEx3CO0SVO4WLH0DO43DCHYDTH1P">#REF!</definedName>
    <definedName localSheetId="1" name="BExQ94LAW6MAQBWY25WTBFV5PPZJ">#REF!</definedName>
    <definedName name="BEx5GYUPJULJQ624TEESYFG1NFOH">#REF!</definedName>
    <definedName localSheetId="1" name="XRefPaste132Row">#REF!</definedName>
    <definedName localSheetId="1" name="BExQH9P2MCXAJOVEO4GFQT6MNW22">#REF!</definedName>
    <definedName localSheetId="1" name="XRefCopy51Row">#REF!</definedName>
    <definedName localSheetId="1" name="BExMCMZOEYWVOOJ98TBHTTCS7XB8">#REF!</definedName>
    <definedName name="BEx9GY6BVFQGCLMOWVT6PIC9WP5X">#REF!</definedName>
    <definedName localSheetId="1" name="BEx5D8L47OF0WHBPFWXGZINZWUBZ">#REF!</definedName>
    <definedName name="BExEVVLIEVWYRF2UUC1H0H5QU1CP">#REF!</definedName>
    <definedName localSheetId="1" name="BExD3QXA2UQ2W4N7NYLUEOG40BZB">#REF!</definedName>
    <definedName localSheetId="1" name="BEx5P9Y9RDXNUAJ6CZ2LHMM8IM7T">#REF!</definedName>
    <definedName name="BExRZOGSR69INI6GAEPHDWSNK5Q4">#REF!</definedName>
    <definedName localSheetId="1" name="XRefPaste135">#REF!</definedName>
    <definedName name="BExB8HKHKZ1ORJZUYGG2M4VSCC39">#REF!</definedName>
    <definedName name="BExGO70E2O70LF46V8T26YFPL4V8">#REF!</definedName>
    <definedName localSheetId="1" name="BEx3BNR9ES4KY7Q1DK83KC5NDGL8">#REF!</definedName>
    <definedName name="BEx5PJP02W68K2E46L5C5YBSNU6T">#REF!</definedName>
    <definedName localSheetId="1" name="BExEYUQJXZT6N5HJH8ACJF6SRWEE">#REF!</definedName>
    <definedName name="BEx3KJOMVOSFZVJUL3GKCNP6DQDS">#REF!</definedName>
    <definedName localSheetId="1" name="BExQ300G8I8TK45A0MVHV15422EU">#REF!</definedName>
    <definedName name="BExGUR6BA03XPBK60SQUW197GJ5X">#REF!</definedName>
    <definedName localSheetId="1" name="BExB4Z3EZBGYYI33U0KQ8NEIH8PY">#REF!</definedName>
    <definedName name="BExU2XZLYIU19G7358W5T9E87AFR">#REF!</definedName>
    <definedName localSheetId="1" name="BEx7GSAL6P7TASL8MB63RFST1LJL">#REF!</definedName>
    <definedName name="BEx1OVSMPADTX95QUOX34KZQ8EDY">#REF!</definedName>
    <definedName name="BExBE162OSBKD30I7T1DKKPT3I9I">#REF!</definedName>
    <definedName localSheetId="1" name="BExIP8YNN6UUE1GZ223SWH7DLGKO">#REF!</definedName>
    <definedName localSheetId="1" name="BExIPAB4AOL592OJCC1CFAXTLF1A">#REF!</definedName>
    <definedName localSheetId="1" name="BExXRABZ1CNKCG6K1MR6OUFHF7J9">#REF!</definedName>
    <definedName localSheetId="1" name="BExTU2YFQ25JQ6MEMRHHN66VLTPJ">#REF!</definedName>
    <definedName name="BExU4G31RRVLJ3AC6E1FNEFMXM3O">#REF!</definedName>
    <definedName name="BExBBUCJQRR74Q7GPWDEZXYK2KJL">#REF!</definedName>
    <definedName localSheetId="1" name="BExD0U6KG10QGVDI1XSHK0J10A2V">#REF!</definedName>
    <definedName name="BExVY3WFGJKSQA08UF9NCMST928Y">#REF!</definedName>
    <definedName name="BEx5G8BV2GIOCM3C7IUFK8L04A6M">#REF!</definedName>
    <definedName localSheetId="1" name="BExXXKWLM4D541BH6O8GOJMHFHMW">#REF!</definedName>
    <definedName localSheetId="1" name="ACwvu.ACC.">#REF!</definedName>
    <definedName localSheetId="1" name="BExUAZSQ9VIU4HGIICPSJV5YM3FU">#REF!</definedName>
    <definedName name="BEx9DN6ZMF18Q39MPMXSDJTZQNJ3">#REF!</definedName>
    <definedName localSheetId="1" name="BExVSL787C8E4HFQZ2NVLT35I2XV">#REF!</definedName>
    <definedName localSheetId="1" name="BExUBL83ED0P076RN9RJ8P1MZ299">#REF!</definedName>
    <definedName localSheetId="1" name="BEx7EYYLHMBYQTH6I377FCQS7CSX">#REF!</definedName>
    <definedName name="BEx9F5W18ZGFOKGRE8PR6T1MO6GT">#REF!</definedName>
    <definedName localSheetId="1" name="BExF7EOIMC1OYL1N7835KGOI0FIZ">#REF!</definedName>
    <definedName name="BEx1IE0ZP7RIFM9FI24S9I6AAJ14">#REF!</definedName>
    <definedName localSheetId="1" name="BExB8HF4UBVZKQCSRFRUQL2EE6VL">#REF!</definedName>
    <definedName name="BExZOETNB1CJ3Y2RKLI1ZK0S8Z6H">#REF!</definedName>
    <definedName name="XRefCopy53Row">#REF!</definedName>
    <definedName localSheetId="1" name="BExRZ66M8G9FQ0VFP077QSZBSOA5">#REF!</definedName>
    <definedName name="BExKI7LO70WYISR7Q0Y1ZDWO9M3B">#REF!</definedName>
    <definedName name="BExGNN2YQ9BDAZXT2GLCSAPXKIM7">#REF!</definedName>
    <definedName name="XRefCopy40">#REF!</definedName>
    <definedName name="BEx7CW6NFRL2P4XWP0MWHIYA97KF">#REF!</definedName>
    <definedName localSheetId="1" name="BExBCRBEYR2KZ8FAQFZ2NHY13WIY">#REF!</definedName>
    <definedName localSheetId="1" name="BExQDGQCN7ZW41QDUHOBJUGQAX40">#REF!</definedName>
    <definedName localSheetId="1" name="BEx7809GQOCLHSNH95VOYIX7P1TV">#REF!</definedName>
    <definedName name="BExTUSQCFFYZCDNHWHADBC2E1ZP1">#REF!</definedName>
    <definedName name="BExB806PAXX70XUTA3ZI7OORD78R">#REF!</definedName>
    <definedName localSheetId="1" name="BExSG90Q4ZUU2IPGDYOM169NJV9S">#REF!</definedName>
    <definedName localSheetId="1" name="BExKHPM9XA0ADDK7TUR0N38EXWEP">#REF!</definedName>
    <definedName localSheetId="1" name="BEx1M1WBK5T0LP1AK2JYV6W87ID6">#REF!</definedName>
    <definedName name="BExKPN8C7GN36ZJZHLOB74LU6KT0">#REF!</definedName>
    <definedName localSheetId="1" name="BExZTJL3HVBFY139H6CJHEQCT1EL">#REF!</definedName>
    <definedName localSheetId="1" name="BEx3U94WCEA5DKMWBEX1GU0LKYG2">#REF!</definedName>
    <definedName localSheetId="1" name="BExB610DZWIJP1B72U9QM42COH2B">#REF!</definedName>
    <definedName name="BExXPZKYEMVF5JOC14HYOOYQK6JK">#REF!</definedName>
    <definedName localSheetId="1" name="BEx7DMUYR2HC26WW7AOB1TULERMB">#REF!</definedName>
    <definedName localSheetId="1" name="BExAYP9TDTI2MBP6EYE0H39CPMXN">#REF!</definedName>
    <definedName localSheetId="1" name="BExMIV0KC8555D5E42ZGWG15Y0MO">#REF!</definedName>
    <definedName name="XRefPaste105Row">#REF!</definedName>
    <definedName localSheetId="1" name="BExXN6QAP8UJQVN4R4BQKPP4QK35">#REF!</definedName>
    <definedName name="BExTZ8X5G9S3PA4FPSNK7T69W7QT">#REF!</definedName>
    <definedName name="XRefPaste18Row">#REF!</definedName>
    <definedName localSheetId="1" name="BEx78226TN58UE0CTY98YEDU0LSL">#REF!</definedName>
    <definedName localSheetId="1" name="BExVPRLJ9I6RX45EDVFSQGCPJSOK">#REF!</definedName>
    <definedName localSheetId="1" name="XRefPaste42">#REF!</definedName>
    <definedName localSheetId="1" name="XRefPaste34Row">#REF!</definedName>
    <definedName localSheetId="1" name="BExOLYZNG5RBD0BTS1OEZJNU92Q5">#REF!</definedName>
    <definedName name="XRefCopy51Row">#REF!</definedName>
    <definedName name="BExD7GAIGULTB3YHM1OS9RBQOTEC">#REF!</definedName>
    <definedName name="BEx1WHPURIV3D3PTJJ359H1OP7ZV">#REF!</definedName>
    <definedName localSheetId="1" name="XRefCopy116">#REF!</definedName>
    <definedName name="BExZW5UARC8W9AQNLJX2I5WQWS5F">#REF!</definedName>
    <definedName name="BEx3SPE6N1ORXPRCDL3JPZD73Z9F">#REF!</definedName>
    <definedName localSheetId="1" name="XRefPaste10Row">#REF!</definedName>
    <definedName localSheetId="1" name="BExMNJLFWZBRN9PZF1IO9CYWV1B2">#REF!</definedName>
    <definedName localSheetId="1" name="BExGWEO0JDG84NYLEAV5NSOAGMJZ">#REF!</definedName>
    <definedName name="BExKJUSJPFUIK20FTVAFJWR2OUYX">#REF!</definedName>
    <definedName localSheetId="1" name="BEx3QEDFOYFY5NBTININ5W4RLD4Q">#REF!</definedName>
    <definedName localSheetId="1" name="XRefCopy28Row">#REF!</definedName>
    <definedName name="BExDBDR1XR0FV0CYUCB2OJ7CJCZU">#REF!</definedName>
    <definedName name="BExCVBXGSXT9FWJRG62PX9S1RK83">#REF!</definedName>
    <definedName name="BExXRV5QP3Z0KAQ1EQT9JYT2FV0L">#REF!</definedName>
    <definedName name="XRefCopy63Row">#REF!</definedName>
    <definedName localSheetId="1" name="BExGX9DVACJQIZ4GH6YAD2A7F70O">#REF!</definedName>
    <definedName name="XRefCopy145">#REF!</definedName>
    <definedName localSheetId="1" name="BExMSQRCC40AP8BDUPL2I2DNC210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Claudia:
Motoboy 12
Insumos 12
Motoboy petz 500
Contollab</t>
      </text>
    </comment>
    <comment authorId="0" ref="C20">
      <text>
        <t xml:space="preserve">Claudia:
Equipamento Mhlab
Equipamento PCR
Equipamento Elisa</t>
      </text>
    </comment>
    <comment authorId="0" ref="C21">
      <text>
        <t xml:space="preserve">Claudia:
Equipamento Mhlab
Equipamento PCR
Equipamento Elisa</t>
      </text>
    </comment>
    <comment authorId="0" ref="C33">
      <text>
        <t xml:space="preserve">Claudia:
Telefone
Contador
Jalecos
Roupas e maletas motoboys
Consertos impressoras</t>
      </text>
    </comment>
    <comment authorId="0" ref="C34">
      <text>
        <t xml:space="preserve">Claudia:
Telefone
Contador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7">
      <text>
        <t xml:space="preserve">Claudia:
Motoboy 12
Insumos 12
Motoboy petz 500
Contollab</t>
      </text>
    </comment>
    <comment authorId="0" ref="C28">
      <text>
        <t xml:space="preserve">Claudia:
Telefone
Contador
Jalecos
Roupas e maletas motoboys
Consertos impressoras</t>
      </text>
    </comment>
    <comment authorId="0" ref="C29">
      <text>
        <t xml:space="preserve">Claudia:
Telefone
Contador</t>
      </text>
    </comment>
    <comment authorId="0" ref="C32">
      <text>
        <t xml:space="preserve">Claudia:
Equipamento Mhlab
Equipamento PCR
Equipamento Elisa</t>
      </text>
    </comment>
    <comment authorId="0" ref="C33">
      <text>
        <t xml:space="preserve">Claudia:
Equipamento Mhlab
Equipamento PCR
Equipamento Elisa</t>
      </text>
    </comment>
  </commentList>
</comments>
</file>

<file path=xl/sharedStrings.xml><?xml version="1.0" encoding="utf-8"?>
<sst xmlns="http://schemas.openxmlformats.org/spreadsheetml/2006/main" count="139" uniqueCount="55">
  <si>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</si>
  <si>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</si>
  <si>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</si>
  <si>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</si>
  <si>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</si>
  <si>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</si>
  <si>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</si>
  <si>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</si>
  <si>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</si>
  <si>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</si>
  <si>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</si>
  <si>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</si>
  <si>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</si>
  <si>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Realizado</t>
  </si>
  <si>
    <t>( = )</t>
  </si>
  <si>
    <t>Receita de Vendas</t>
  </si>
  <si>
    <t>( - )</t>
  </si>
  <si>
    <t>Despesas de Comissão</t>
  </si>
  <si>
    <t>Despesas de Impostos (PIS/COFINS/ISS)</t>
  </si>
  <si>
    <t>Receita Líquida</t>
  </si>
  <si>
    <t>Custos</t>
  </si>
  <si>
    <t>Despesas LOGISTICA</t>
  </si>
  <si>
    <t>Outros Custos Diretos (Insumos/materiais)</t>
  </si>
  <si>
    <t>Despesas Equipamentos / Infraestrutura</t>
  </si>
  <si>
    <t>Provisão Manutenção Maq. Etc</t>
  </si>
  <si>
    <t>Lucro Bruto</t>
  </si>
  <si>
    <t>Despesas</t>
  </si>
  <si>
    <t>Despesas de Pessoal</t>
  </si>
  <si>
    <t>Despesas de Benefícios</t>
  </si>
  <si>
    <t>Despesas de Impostos (INSS/FGTS)</t>
  </si>
  <si>
    <t>Despesas de Pró-Labore</t>
  </si>
  <si>
    <t>Provisão de Férias/13o./Rescisões</t>
  </si>
  <si>
    <t>Despesas de Aluguel (Luz / Água)</t>
  </si>
  <si>
    <t>Despesas de MKT</t>
  </si>
  <si>
    <t>Despesas de TI</t>
  </si>
  <si>
    <t>Despesas DIVERSAS</t>
  </si>
  <si>
    <t>Despesas Manut. PREDIAL</t>
  </si>
  <si>
    <t>Despesas Exames Outros Laboratórios</t>
  </si>
  <si>
    <t>Desp. Financeiras / Empréstimos</t>
  </si>
  <si>
    <t>Total das Saídas</t>
  </si>
  <si>
    <t>Despesas de Impostos (PIS/COFINS)</t>
  </si>
  <si>
    <t>Resultado Líquido</t>
  </si>
  <si>
    <t>% em relação ao Faturamento</t>
  </si>
  <si>
    <t>FLUXO DE CAIXA PROJETADO -</t>
  </si>
  <si>
    <t>Jun</t>
  </si>
  <si>
    <t>Jul</t>
  </si>
  <si>
    <t>Ago</t>
  </si>
  <si>
    <t>Set</t>
  </si>
  <si>
    <t>Out</t>
  </si>
  <si>
    <t>Número de pedidos</t>
  </si>
  <si>
    <t>Ticket Médio - Em R$</t>
  </si>
  <si>
    <t>Despesas de Impostos (IRPJ/CSLL/PIS/COFINS)</t>
  </si>
  <si>
    <t/>
  </si>
  <si>
    <t>Saldo Final - R$</t>
  </si>
  <si>
    <t>(Entradas - Saídas)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</si>
</sst>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%;[Red]\(0.0%\)"/>
    <numFmt numFmtId="165" formatCode="_-* #,##0.0_-;[Red]\(#,##0.0\);_-* &quot;-&quot;??_-;_-@"/>
    <numFmt numFmtId="166" formatCode="_-* #,##0.00_-;[Red]\(#,##0.00\);_-* &quot;-&quot;??_-;_-@"/>
    <numFmt numFmtId="167" formatCode="_-* #,##0_-;[Red]\(#,##0\);_-* &quot;-&quot;??_-;_-@"/>
    <numFmt numFmtId="168" formatCode="_-* #,##0.00_-;\-* #,##0.00_-;_-* &quot;-&quot;??_-;_-@"/>
    <numFmt numFmtId="169" formatCode="0.0%"/>
    <numFmt numFmtId="170" formatCode="_-* #,##0.0_-;\-* #,##0.0_-;_-* &quot;-&quot;?_-;_-@"/>
  </numFmts>
  <fonts count="11">
    <font>
      <sz val="11.0"/>
      <color theme="1"/>
      <name val="Calibri"/>
      <scheme val="minor"/>
    </font>
    <font>
      <b/>
      <sz val="16.0"/>
      <color theme="1"/>
      <name val="Arial Narrow"/>
    </font>
    <font/>
    <font>
      <sz val="10.0"/>
      <color theme="1"/>
      <name val="Arial Narrow"/>
    </font>
    <font>
      <b/>
      <sz val="14.0"/>
      <color theme="0"/>
      <name val="Arial Narrow"/>
    </font>
    <font>
      <b/>
      <sz val="12.0"/>
      <color theme="0"/>
      <name val="Arial Narrow"/>
    </font>
    <font>
      <b/>
      <sz val="12.0"/>
      <color rgb="FF7030A0"/>
      <name val="Arial Narrow"/>
    </font>
    <font>
      <sz val="12.0"/>
      <color theme="1"/>
      <name val="Arial Narrow"/>
    </font>
    <font>
      <b/>
      <sz val="12.0"/>
      <color theme="1"/>
      <name val="Arial Narrow"/>
    </font>
    <font>
      <sz val="11.0"/>
      <color theme="1"/>
      <name val="Calibri"/>
    </font>
    <font>
      <b/>
      <sz val="12.0"/>
      <color rgb="FF0070C0"/>
      <name val="Arial Narrow"/>
    </font>
  </fonts>
  <fills count="12">
    <fill>
      <patternFill patternType="none"/>
    </fill>
    <fill>
      <patternFill patternType="lightGray"/>
    </fill>
    <fill>
      <patternFill patternType="solid">
        <fgColor rgb="FFFF99FF"/>
        <bgColor rgb="FFFF99FF"/>
      </patternFill>
    </fill>
    <fill>
      <patternFill patternType="solid">
        <fgColor rgb="FFAE529C"/>
        <bgColor rgb="FFAE529C"/>
      </patternFill>
    </fill>
    <fill>
      <patternFill patternType="solid">
        <fgColor rgb="FF9CC2E5"/>
        <bgColor rgb="FF9CC2E5"/>
      </patternFill>
    </fill>
    <fill>
      <patternFill patternType="solid">
        <fgColor rgb="FFFFCCCC"/>
        <bgColor rgb="FFFFCCCC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D7C887"/>
        <bgColor rgb="FFD7C887"/>
      </patternFill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C5E0B3"/>
        <bgColor rgb="FFC5E0B3"/>
      </patternFill>
    </fill>
  </fills>
  <borders count="46">
    <border/>
    <border>
      <left/>
      <top/>
      <bottom/>
    </border>
    <border>
      <top/>
      <bottom/>
    </border>
    <border>
      <right/>
      <top/>
      <bottom/>
    </border>
    <border>
      <left style="thin">
        <color rgb="FFA5A5A5"/>
      </left>
      <top/>
    </border>
    <border>
      <top/>
    </border>
    <border>
      <right style="thin">
        <color rgb="FFA5A5A5"/>
      </right>
      <top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bottom style="thin">
        <color rgb="FFA5A5A5"/>
      </bottom>
    </border>
    <border>
      <bottom style="thin">
        <color rgb="FFA5A5A5"/>
      </bottom>
    </border>
    <border>
      <right style="thin">
        <color rgb="FFA5A5A5"/>
      </right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top style="thin">
        <color rgb="FFA5A5A5"/>
      </top>
    </border>
    <border>
      <left style="thin">
        <color rgb="FFA5A5A5"/>
      </left>
      <right/>
      <top style="thin">
        <color rgb="FFA5A5A5"/>
      </top>
      <bottom style="thin">
        <color rgb="FFA5A5A5"/>
      </bottom>
    </border>
    <border>
      <left/>
      <right/>
      <top style="thin">
        <color rgb="FFA5A5A5"/>
      </top>
      <bottom style="thin">
        <color rgb="FFA5A5A5"/>
      </bottom>
    </border>
    <border>
      <left/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A5A5A5"/>
      </left>
      <top style="thin">
        <color rgb="FFA5A5A5"/>
      </top>
    </border>
    <border>
      <right style="thin">
        <color rgb="FFA5A5A5"/>
      </right>
    </border>
    <border>
      <left style="thin">
        <color rgb="FFA5A5A5"/>
      </left>
      <right style="thin">
        <color rgb="FFA5A5A5"/>
      </right>
      <top/>
      <bottom/>
    </border>
    <border>
      <left style="thin">
        <color rgb="FFA5A5A5"/>
      </left>
      <right/>
      <top/>
      <bottom/>
    </border>
    <border>
      <left style="medium">
        <color rgb="FF000000"/>
      </left>
      <right style="medium">
        <color rgb="FF000000"/>
      </right>
    </border>
    <border>
      <right style="thin">
        <color rgb="FFA5A5A5"/>
      </right>
      <top style="thin">
        <color rgb="FFA5A5A5"/>
      </top>
    </border>
    <border>
      <left style="medium">
        <color rgb="FF000000"/>
      </left>
      <right style="medium">
        <color rgb="FF000000"/>
      </right>
      <top style="thin">
        <color rgb="FFA5A5A5"/>
      </top>
    </border>
    <border>
      <left style="thin">
        <color rgb="FFA5A5A5"/>
      </left>
      <right/>
      <top style="thin">
        <color rgb="FFA5A5A5"/>
      </top>
      <bottom/>
    </border>
    <border>
      <left style="thin">
        <color rgb="FFA5A5A5"/>
      </left>
      <right style="thin">
        <color rgb="FFA5A5A5"/>
      </right>
    </border>
    <border>
      <left style="thin">
        <color rgb="FFA5A5A5"/>
      </left>
    </border>
    <border>
      <left/>
      <right/>
      <top/>
      <bottom/>
    </border>
    <border>
      <left/>
      <right style="thin">
        <color rgb="FFA5A5A5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A5A5A5"/>
      </left>
      <right style="thin">
        <color rgb="FFA5A5A5"/>
      </right>
      <top/>
      <bottom style="thin">
        <color rgb="FFA5A5A5"/>
      </bottom>
    </border>
    <border>
      <left style="thin">
        <color rgb="FFA5A5A5"/>
      </left>
      <right/>
      <top/>
      <bottom style="thin">
        <color rgb="FFA5A5A5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</border>
    <border>
      <left/>
      <right style="thin">
        <color rgb="FFA5A5A5"/>
      </right>
      <top style="thin">
        <color rgb="FFA5A5A5"/>
      </top>
      <bottom/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3" numFmtId="164" xfId="0" applyFont="1" applyNumberFormat="1"/>
    <xf borderId="4" fillId="3" fontId="4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0" fillId="0" fontId="5" numFmtId="0" xfId="0" applyAlignment="1" applyFont="1">
      <alignment shrinkToFit="0" vertical="center" wrapText="1"/>
    </xf>
    <xf quotePrefix="1" borderId="7" fillId="4" fontId="6" numFmtId="0" xfId="0" applyAlignment="1" applyBorder="1" applyFill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7" fillId="4" fontId="6" numFmtId="0" xfId="0" applyAlignment="1" applyBorder="1" applyFont="1">
      <alignment horizontal="center" vertical="center"/>
    </xf>
    <xf quotePrefix="1" borderId="7" fillId="4" fontId="6" numFmtId="0" xfId="0" applyAlignment="1" applyBorder="1" applyFont="1">
      <alignment horizontal="center" vertical="center"/>
    </xf>
    <xf borderId="11" fillId="0" fontId="7" numFmtId="0" xfId="0" applyBorder="1" applyFont="1"/>
    <xf borderId="0" fillId="0" fontId="7" numFmtId="0" xfId="0" applyFont="1"/>
    <xf borderId="11" fillId="0" fontId="7" numFmtId="165" xfId="0" applyBorder="1" applyFont="1" applyNumberFormat="1"/>
    <xf borderId="12" fillId="0" fontId="7" numFmtId="165" xfId="0" applyBorder="1" applyFont="1" applyNumberFormat="1"/>
    <xf borderId="13" fillId="4" fontId="8" numFmtId="0" xfId="0" applyBorder="1" applyFont="1"/>
    <xf borderId="14" fillId="4" fontId="8" numFmtId="0" xfId="0" applyBorder="1" applyFont="1"/>
    <xf borderId="15" fillId="4" fontId="8" numFmtId="0" xfId="0" applyBorder="1" applyFont="1"/>
    <xf borderId="16" fillId="4" fontId="8" numFmtId="166" xfId="0" applyBorder="1" applyFont="1" applyNumberFormat="1"/>
    <xf borderId="17" fillId="0" fontId="8" numFmtId="167" xfId="0" applyAlignment="1" applyBorder="1" applyFont="1" applyNumberFormat="1">
      <alignment horizontal="center"/>
    </xf>
    <xf borderId="18" fillId="0" fontId="7" numFmtId="0" xfId="0" applyBorder="1" applyFont="1"/>
    <xf borderId="12" fillId="0" fontId="7" numFmtId="0" xfId="0" applyBorder="1" applyFont="1"/>
    <xf borderId="19" fillId="0" fontId="7" numFmtId="0" xfId="0" applyBorder="1" applyFont="1"/>
    <xf borderId="20" fillId="5" fontId="7" numFmtId="166" xfId="0" applyBorder="1" applyFill="1" applyFont="1" applyNumberFormat="1"/>
    <xf borderId="21" fillId="5" fontId="7" numFmtId="166" xfId="0" applyBorder="1" applyFont="1" applyNumberFormat="1"/>
    <xf borderId="22" fillId="0" fontId="7" numFmtId="166" xfId="0" applyBorder="1" applyFont="1" applyNumberFormat="1"/>
    <xf borderId="23" fillId="0" fontId="7" numFmtId="0" xfId="0" applyBorder="1" applyFont="1"/>
    <xf borderId="16" fillId="5" fontId="7" numFmtId="166" xfId="0" applyBorder="1" applyFont="1" applyNumberFormat="1"/>
    <xf borderId="24" fillId="0" fontId="8" numFmtId="167" xfId="0" applyAlignment="1" applyBorder="1" applyFont="1" applyNumberFormat="1">
      <alignment horizontal="center"/>
    </xf>
    <xf borderId="25" fillId="4" fontId="8" numFmtId="166" xfId="0" applyBorder="1" applyFont="1" applyNumberFormat="1"/>
    <xf borderId="24" fillId="0" fontId="8" numFmtId="166" xfId="0" applyBorder="1" applyFont="1" applyNumberFormat="1"/>
    <xf borderId="18" fillId="0" fontId="8" numFmtId="0" xfId="0" applyBorder="1" applyFont="1"/>
    <xf borderId="12" fillId="0" fontId="8" numFmtId="0" xfId="0" applyBorder="1" applyFont="1"/>
    <xf borderId="0" fillId="0" fontId="8" numFmtId="0" xfId="0" applyFont="1"/>
    <xf borderId="19" fillId="0" fontId="8" numFmtId="0" xfId="0" applyBorder="1" applyFont="1"/>
    <xf borderId="26" fillId="0" fontId="8" numFmtId="166" xfId="0" applyBorder="1" applyFont="1" applyNumberFormat="1"/>
    <xf borderId="27" fillId="0" fontId="8" numFmtId="166" xfId="0" applyBorder="1" applyFont="1" applyNumberFormat="1"/>
    <xf borderId="13" fillId="6" fontId="8" numFmtId="0" xfId="0" applyBorder="1" applyFill="1" applyFont="1"/>
    <xf borderId="14" fillId="6" fontId="8" numFmtId="0" xfId="0" applyBorder="1" applyFont="1"/>
    <xf borderId="15" fillId="6" fontId="8" numFmtId="0" xfId="0" applyBorder="1" applyFont="1"/>
    <xf borderId="28" fillId="6" fontId="7" numFmtId="0" xfId="0" applyBorder="1" applyFont="1"/>
    <xf borderId="20" fillId="6" fontId="8" numFmtId="166" xfId="0" applyBorder="1" applyFont="1" applyNumberFormat="1"/>
    <xf borderId="21" fillId="6" fontId="8" numFmtId="166" xfId="0" applyBorder="1" applyFont="1" applyNumberFormat="1"/>
    <xf borderId="27" fillId="0" fontId="7" numFmtId="0" xfId="0" applyBorder="1" applyFont="1"/>
    <xf borderId="21" fillId="4" fontId="8" numFmtId="0" xfId="0" applyBorder="1" applyFont="1"/>
    <xf borderId="28" fillId="4" fontId="8" numFmtId="0" xfId="0" applyBorder="1" applyFont="1"/>
    <xf borderId="29" fillId="4" fontId="8" numFmtId="0" xfId="0" applyBorder="1" applyFont="1"/>
    <xf borderId="20" fillId="4" fontId="8" numFmtId="166" xfId="0" applyBorder="1" applyFont="1" applyNumberFormat="1"/>
    <xf borderId="21" fillId="4" fontId="8" numFmtId="166" xfId="0" applyBorder="1" applyFont="1" applyNumberFormat="1"/>
    <xf borderId="24" fillId="0" fontId="7" numFmtId="166" xfId="0" applyBorder="1" applyFont="1" applyNumberFormat="1"/>
    <xf borderId="13" fillId="7" fontId="8" numFmtId="0" xfId="0" applyBorder="1" applyFill="1" applyFont="1"/>
    <xf borderId="14" fillId="7" fontId="8" numFmtId="0" xfId="0" applyBorder="1" applyFont="1"/>
    <xf borderId="15" fillId="7" fontId="8" numFmtId="0" xfId="0" applyBorder="1" applyFont="1"/>
    <xf borderId="7" fillId="8" fontId="8" numFmtId="166" xfId="0" applyBorder="1" applyFill="1" applyFont="1" applyNumberFormat="1"/>
    <xf borderId="13" fillId="8" fontId="8" numFmtId="166" xfId="0" applyBorder="1" applyFont="1" applyNumberFormat="1"/>
    <xf borderId="0" fillId="0" fontId="8" numFmtId="166" xfId="0" applyFont="1" applyNumberFormat="1"/>
    <xf borderId="22" fillId="0" fontId="8" numFmtId="167" xfId="0" applyAlignment="1" applyBorder="1" applyFont="1" applyNumberFormat="1">
      <alignment horizontal="center"/>
    </xf>
    <xf borderId="30" fillId="0" fontId="7" numFmtId="0" xfId="0" applyBorder="1" applyFont="1"/>
    <xf borderId="31" fillId="0" fontId="7" numFmtId="0" xfId="0" applyBorder="1" applyFont="1"/>
    <xf borderId="32" fillId="0" fontId="7" numFmtId="0" xfId="0" applyBorder="1" applyFont="1"/>
    <xf borderId="28" fillId="8" fontId="8" numFmtId="166" xfId="0" applyBorder="1" applyFont="1" applyNumberFormat="1"/>
    <xf borderId="0" fillId="0" fontId="7" numFmtId="166" xfId="0" applyFont="1" applyNumberFormat="1"/>
    <xf borderId="33" fillId="7" fontId="8" numFmtId="0" xfId="0" applyBorder="1" applyFont="1"/>
    <xf borderId="34" fillId="7" fontId="8" numFmtId="0" xfId="0" applyBorder="1" applyFont="1"/>
    <xf borderId="35" fillId="7" fontId="8" numFmtId="0" xfId="0" applyBorder="1" applyFont="1"/>
    <xf borderId="16" fillId="8" fontId="8" numFmtId="166" xfId="0" applyBorder="1" applyFont="1" applyNumberFormat="1"/>
    <xf borderId="25" fillId="8" fontId="8" numFmtId="166" xfId="0" applyBorder="1" applyFont="1" applyNumberFormat="1"/>
    <xf borderId="36" fillId="7" fontId="8" numFmtId="0" xfId="0" applyBorder="1" applyFont="1"/>
    <xf borderId="37" fillId="7" fontId="8" numFmtId="0" xfId="0" applyBorder="1" applyFont="1"/>
    <xf borderId="38" fillId="7" fontId="8" numFmtId="0" xfId="0" applyBorder="1" applyFont="1"/>
    <xf borderId="39" fillId="8" fontId="8" numFmtId="164" xfId="0" applyBorder="1" applyFont="1" applyNumberFormat="1"/>
    <xf borderId="40" fillId="8" fontId="8" numFmtId="164" xfId="0" applyBorder="1" applyFont="1" applyNumberFormat="1"/>
    <xf borderId="41" fillId="0" fontId="8" numFmtId="164" xfId="0" applyBorder="1" applyFont="1" applyNumberFormat="1"/>
    <xf borderId="0" fillId="0" fontId="9" numFmtId="168" xfId="0" applyFont="1" applyNumberFormat="1"/>
    <xf borderId="28" fillId="9" fontId="9" numFmtId="0" xfId="0" applyBorder="1" applyFill="1" applyFont="1"/>
    <xf borderId="0" fillId="0" fontId="3" numFmtId="169" xfId="0" applyFont="1" applyNumberFormat="1"/>
    <xf borderId="0" fillId="0" fontId="3" numFmtId="170" xfId="0" applyFont="1" applyNumberFormat="1"/>
    <xf borderId="7" fillId="4" fontId="6" numFmtId="0" xfId="0" applyAlignment="1" applyBorder="1" applyFont="1">
      <alignment horizontal="center"/>
    </xf>
    <xf borderId="42" fillId="0" fontId="8" numFmtId="0" xfId="0" applyAlignment="1" applyBorder="1" applyFont="1">
      <alignment horizontal="center"/>
    </xf>
    <xf borderId="11" fillId="0" fontId="2" numFmtId="0" xfId="0" applyBorder="1" applyFont="1"/>
    <xf borderId="43" fillId="0" fontId="2" numFmtId="0" xfId="0" applyBorder="1" applyFont="1"/>
    <xf borderId="16" fillId="10" fontId="10" numFmtId="167" xfId="0" applyBorder="1" applyFill="1" applyFont="1" applyNumberFormat="1"/>
    <xf borderId="16" fillId="10" fontId="10" numFmtId="167" xfId="0" applyAlignment="1" applyBorder="1" applyFont="1" applyNumberFormat="1">
      <alignment horizontal="center"/>
    </xf>
    <xf borderId="16" fillId="8" fontId="10" numFmtId="167" xfId="0" applyAlignment="1" applyBorder="1" applyFont="1" applyNumberFormat="1">
      <alignment horizontal="center"/>
    </xf>
    <xf borderId="16" fillId="8" fontId="8" numFmtId="167" xfId="0" applyAlignment="1" applyBorder="1" applyFont="1" applyNumberFormat="1">
      <alignment horizontal="center"/>
    </xf>
    <xf borderId="44" fillId="0" fontId="8" numFmtId="167" xfId="0" applyBorder="1" applyFont="1" applyNumberFormat="1"/>
    <xf borderId="16" fillId="11" fontId="8" numFmtId="167" xfId="0" applyAlignment="1" applyBorder="1" applyFill="1" applyFont="1" applyNumberFormat="1">
      <alignment horizontal="center"/>
    </xf>
    <xf borderId="0" fillId="0" fontId="3" numFmtId="9" xfId="0" applyFont="1" applyNumberFormat="1"/>
    <xf borderId="16" fillId="10" fontId="8" numFmtId="166" xfId="0" applyAlignment="1" applyBorder="1" applyFont="1" applyNumberFormat="1">
      <alignment horizontal="center"/>
    </xf>
    <xf borderId="44" fillId="0" fontId="8" numFmtId="166" xfId="0" applyBorder="1" applyFont="1" applyNumberFormat="1"/>
    <xf borderId="16" fillId="11" fontId="8" numFmtId="166" xfId="0" applyAlignment="1" applyBorder="1" applyFont="1" applyNumberFormat="1">
      <alignment horizontal="center"/>
    </xf>
    <xf borderId="16" fillId="4" fontId="8" numFmtId="166" xfId="0" applyAlignment="1" applyBorder="1" applyFont="1" applyNumberFormat="1">
      <alignment horizontal="center"/>
    </xf>
    <xf borderId="7" fillId="4" fontId="8" numFmtId="166" xfId="0" applyBorder="1" applyFont="1" applyNumberFormat="1"/>
    <xf borderId="16" fillId="4" fontId="8" numFmtId="167" xfId="0" applyAlignment="1" applyBorder="1" applyFont="1" applyNumberFormat="1">
      <alignment horizontal="center"/>
    </xf>
    <xf borderId="44" fillId="0" fontId="7" numFmtId="166" xfId="0" applyBorder="1" applyFont="1" applyNumberFormat="1"/>
    <xf borderId="16" fillId="8" fontId="7" numFmtId="166" xfId="0" applyBorder="1" applyFont="1" applyNumberFormat="1"/>
    <xf borderId="45" fillId="11" fontId="8" numFmtId="167" xfId="0" applyAlignment="1" applyBorder="1" applyFont="1" applyNumberFormat="1">
      <alignment horizontal="center"/>
    </xf>
    <xf borderId="26" fillId="0" fontId="7" numFmtId="166" xfId="0" applyBorder="1" applyFont="1" applyNumberFormat="1"/>
    <xf borderId="20" fillId="8" fontId="7" numFmtId="166" xfId="0" applyBorder="1" applyFont="1" applyNumberFormat="1"/>
    <xf quotePrefix="1" borderId="0" fillId="0" fontId="3" numFmtId="0" xfId="0" applyFont="1"/>
    <xf borderId="7" fillId="7" fontId="8" numFmtId="166" xfId="0" applyBorder="1" applyFont="1" applyNumberFormat="1"/>
    <xf borderId="16" fillId="7" fontId="8" numFmtId="166" xfId="0" applyBorder="1" applyFont="1" applyNumberFormat="1"/>
    <xf borderId="16" fillId="11" fontId="8" numFmtId="166" xfId="0" applyBorder="1" applyFont="1" applyNumberFormat="1"/>
    <xf borderId="45" fillId="11" fontId="8" numFmtId="166" xfId="0" applyBorder="1" applyFont="1" applyNumberFormat="1"/>
    <xf borderId="39" fillId="7" fontId="8" numFmtId="164" xfId="0" applyBorder="1" applyFont="1" applyNumberFormat="1"/>
    <xf borderId="39" fillId="11" fontId="8" numFmtId="164" xfId="0" applyBorder="1" applyFont="1" applyNumberFormat="1"/>
    <xf borderId="12" fillId="0" fontId="7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8.86"/>
    <col customWidth="1" min="5" max="5" width="20.71"/>
    <col customWidth="1" min="6" max="6" width="1.71"/>
    <col customWidth="1" min="7" max="19" width="12.86"/>
    <col customWidth="1" min="20" max="26" width="8.86"/>
  </cols>
  <sheetData>
    <row r="7"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3"/>
    </row>
    <row r="8">
      <c r="B8" s="4"/>
      <c r="C8" s="4"/>
      <c r="D8" s="4"/>
      <c r="E8" s="4"/>
      <c r="F8" s="4"/>
      <c r="G8" s="4"/>
      <c r="H8" s="4"/>
      <c r="I8" s="5"/>
      <c r="J8" s="4"/>
      <c r="K8" s="4"/>
      <c r="L8" s="4"/>
      <c r="M8" s="4"/>
      <c r="N8" s="4"/>
      <c r="O8" s="4"/>
      <c r="P8" s="4"/>
      <c r="Q8" s="4"/>
      <c r="R8" s="4"/>
      <c r="S8" s="4"/>
    </row>
    <row r="9">
      <c r="B9" s="6"/>
      <c r="C9" s="7"/>
      <c r="D9" s="7"/>
      <c r="E9" s="8"/>
      <c r="F9" s="9"/>
      <c r="G9" s="10" t="s">
        <v>0</v>
      </c>
      <c r="H9" s="10" t="s">
        <v>1</v>
      </c>
      <c r="I9" s="10" t="s">
        <v>2</v>
      </c>
      <c r="J9" s="10" t="s">
        <v>3</v>
      </c>
      <c r="K9" s="10" t="s">
        <v>4</v>
      </c>
      <c r="L9" s="10" t="s">
        <v>5</v>
      </c>
      <c r="M9" s="10" t="s">
        <v>6</v>
      </c>
      <c r="N9" s="10" t="s">
        <v>7</v>
      </c>
      <c r="O9" s="10" t="s">
        <v>8</v>
      </c>
      <c r="P9" s="10" t="s">
        <v>9</v>
      </c>
      <c r="Q9" s="10" t="s">
        <v>10</v>
      </c>
      <c r="R9" s="10" t="s">
        <v>11</v>
      </c>
      <c r="S9" s="10" t="s">
        <v>12</v>
      </c>
    </row>
    <row r="10">
      <c r="B10" s="11"/>
      <c r="C10" s="12"/>
      <c r="D10" s="12"/>
      <c r="E10" s="13"/>
      <c r="F10" s="9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5" t="s">
        <v>13</v>
      </c>
    </row>
    <row r="11">
      <c r="B11" s="16"/>
      <c r="C11" s="16"/>
      <c r="D11" s="16"/>
      <c r="E11" s="16"/>
      <c r="F11" s="17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9"/>
    </row>
    <row r="12">
      <c r="B12" s="20" t="s">
        <v>14</v>
      </c>
      <c r="C12" s="21" t="s">
        <v>15</v>
      </c>
      <c r="D12" s="21"/>
      <c r="E12" s="22"/>
      <c r="F12" s="17"/>
      <c r="G12" s="23">
        <f>FC!G16</f>
        <v>987500</v>
      </c>
      <c r="H12" s="23">
        <f>FC!H16</f>
        <v>1027000</v>
      </c>
      <c r="I12" s="23">
        <f>FC!I16</f>
        <v>1066500</v>
      </c>
      <c r="J12" s="23">
        <f>FC!J16</f>
        <v>1106000</v>
      </c>
      <c r="K12" s="23">
        <f>FC!K16</f>
        <v>1145500</v>
      </c>
      <c r="L12" s="23">
        <f>FC!L16</f>
        <v>1185000</v>
      </c>
      <c r="M12" s="23">
        <f>FC!M16</f>
        <v>1224500</v>
      </c>
      <c r="N12" s="23">
        <f>FC!N16</f>
        <v>1264000</v>
      </c>
      <c r="O12" s="23">
        <f>FC!O16</f>
        <v>1303500</v>
      </c>
      <c r="P12" s="23">
        <f>FC!P16</f>
        <v>1343000</v>
      </c>
      <c r="Q12" s="23">
        <f>FC!Q16</f>
        <v>1382500</v>
      </c>
      <c r="R12" s="23">
        <f>FC!R16</f>
        <v>1422000</v>
      </c>
      <c r="S12" s="24">
        <f>SUM(G12:R12)/12</f>
        <v>1204750</v>
      </c>
    </row>
    <row r="13">
      <c r="B13" s="25" t="s">
        <v>16</v>
      </c>
      <c r="C13" s="26" t="s">
        <v>17</v>
      </c>
      <c r="D13" s="17"/>
      <c r="E13" s="27"/>
      <c r="F13" s="17"/>
      <c r="G13" s="28">
        <f t="shared" ref="G13:R13" si="1">G12*5%</f>
        <v>49375</v>
      </c>
      <c r="H13" s="28">
        <f t="shared" si="1"/>
        <v>51350</v>
      </c>
      <c r="I13" s="28">
        <f t="shared" si="1"/>
        <v>53325</v>
      </c>
      <c r="J13" s="28">
        <f t="shared" si="1"/>
        <v>55300</v>
      </c>
      <c r="K13" s="28">
        <f t="shared" si="1"/>
        <v>57275</v>
      </c>
      <c r="L13" s="28">
        <f t="shared" si="1"/>
        <v>59250</v>
      </c>
      <c r="M13" s="28">
        <f t="shared" si="1"/>
        <v>61225</v>
      </c>
      <c r="N13" s="28">
        <f t="shared" si="1"/>
        <v>63200</v>
      </c>
      <c r="O13" s="28">
        <f t="shared" si="1"/>
        <v>65175</v>
      </c>
      <c r="P13" s="28">
        <f t="shared" si="1"/>
        <v>67150</v>
      </c>
      <c r="Q13" s="28">
        <f t="shared" si="1"/>
        <v>69125</v>
      </c>
      <c r="R13" s="29">
        <f t="shared" si="1"/>
        <v>71100</v>
      </c>
      <c r="S13" s="30"/>
    </row>
    <row r="14">
      <c r="B14" s="25" t="s">
        <v>16</v>
      </c>
      <c r="C14" s="26" t="s">
        <v>18</v>
      </c>
      <c r="D14" s="26"/>
      <c r="E14" s="31"/>
      <c r="F14" s="17"/>
      <c r="G14" s="32">
        <f t="shared" ref="G14:R14" si="2">G12*8.5%</f>
        <v>83937.5</v>
      </c>
      <c r="H14" s="32">
        <f t="shared" si="2"/>
        <v>87295</v>
      </c>
      <c r="I14" s="32">
        <f t="shared" si="2"/>
        <v>90652.5</v>
      </c>
      <c r="J14" s="32">
        <f t="shared" si="2"/>
        <v>94010</v>
      </c>
      <c r="K14" s="32">
        <f t="shared" si="2"/>
        <v>97367.5</v>
      </c>
      <c r="L14" s="32">
        <f t="shared" si="2"/>
        <v>100725</v>
      </c>
      <c r="M14" s="32">
        <f t="shared" si="2"/>
        <v>104082.5</v>
      </c>
      <c r="N14" s="32">
        <f t="shared" si="2"/>
        <v>107440</v>
      </c>
      <c r="O14" s="32">
        <f t="shared" si="2"/>
        <v>110797.5</v>
      </c>
      <c r="P14" s="32">
        <f t="shared" si="2"/>
        <v>114155</v>
      </c>
      <c r="Q14" s="32">
        <f t="shared" si="2"/>
        <v>117512.5</v>
      </c>
      <c r="R14" s="32">
        <f t="shared" si="2"/>
        <v>120870</v>
      </c>
      <c r="S14" s="33">
        <v>111350.0</v>
      </c>
    </row>
    <row r="15">
      <c r="B15" s="20" t="s">
        <v>14</v>
      </c>
      <c r="C15" s="21" t="s">
        <v>19</v>
      </c>
      <c r="D15" s="21"/>
      <c r="E15" s="22"/>
      <c r="F15" s="17"/>
      <c r="G15" s="23">
        <f t="shared" ref="G15:S15" si="3">G12-G13-G14</f>
        <v>854187.5</v>
      </c>
      <c r="H15" s="23">
        <f t="shared" si="3"/>
        <v>888355</v>
      </c>
      <c r="I15" s="23">
        <f t="shared" si="3"/>
        <v>922522.5</v>
      </c>
      <c r="J15" s="23">
        <f t="shared" si="3"/>
        <v>956690</v>
      </c>
      <c r="K15" s="23">
        <f t="shared" si="3"/>
        <v>990857.5</v>
      </c>
      <c r="L15" s="23">
        <f t="shared" si="3"/>
        <v>1025025</v>
      </c>
      <c r="M15" s="23">
        <f t="shared" si="3"/>
        <v>1059192.5</v>
      </c>
      <c r="N15" s="23">
        <f t="shared" si="3"/>
        <v>1093360</v>
      </c>
      <c r="O15" s="23">
        <f t="shared" si="3"/>
        <v>1127527.5</v>
      </c>
      <c r="P15" s="23">
        <f t="shared" si="3"/>
        <v>1161695</v>
      </c>
      <c r="Q15" s="23">
        <f t="shared" si="3"/>
        <v>1195862.5</v>
      </c>
      <c r="R15" s="34">
        <f t="shared" si="3"/>
        <v>1230030</v>
      </c>
      <c r="S15" s="35">
        <f t="shared" si="3"/>
        <v>1093400</v>
      </c>
    </row>
    <row r="16" ht="15.0" customHeight="1">
      <c r="B16" s="36"/>
      <c r="C16" s="37"/>
      <c r="D16" s="38"/>
      <c r="E16" s="39"/>
      <c r="F16" s="17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1"/>
      <c r="S16" s="33"/>
    </row>
    <row r="17" ht="15.0" customHeight="1">
      <c r="B17" s="42"/>
      <c r="C17" s="43" t="s">
        <v>20</v>
      </c>
      <c r="D17" s="43"/>
      <c r="E17" s="44"/>
      <c r="F17" s="45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7"/>
      <c r="S17" s="33"/>
    </row>
    <row r="18" ht="15.0" customHeight="1">
      <c r="B18" s="48" t="s">
        <v>16</v>
      </c>
      <c r="C18" s="17" t="s">
        <v>21</v>
      </c>
      <c r="D18" s="17"/>
      <c r="E18" s="27"/>
      <c r="F18" s="17"/>
      <c r="G18" s="28">
        <f t="shared" ref="G18:R18" si="4">G12*11%</f>
        <v>108625</v>
      </c>
      <c r="H18" s="28">
        <f t="shared" si="4"/>
        <v>112970</v>
      </c>
      <c r="I18" s="28">
        <f t="shared" si="4"/>
        <v>117315</v>
      </c>
      <c r="J18" s="28">
        <f t="shared" si="4"/>
        <v>121660</v>
      </c>
      <c r="K18" s="28">
        <f t="shared" si="4"/>
        <v>126005</v>
      </c>
      <c r="L18" s="28">
        <f t="shared" si="4"/>
        <v>130350</v>
      </c>
      <c r="M18" s="28">
        <f t="shared" si="4"/>
        <v>134695</v>
      </c>
      <c r="N18" s="28">
        <f t="shared" si="4"/>
        <v>139040</v>
      </c>
      <c r="O18" s="28">
        <f t="shared" si="4"/>
        <v>143385</v>
      </c>
      <c r="P18" s="28">
        <f t="shared" si="4"/>
        <v>147730</v>
      </c>
      <c r="Q18" s="28">
        <f t="shared" si="4"/>
        <v>152075</v>
      </c>
      <c r="R18" s="28">
        <f t="shared" si="4"/>
        <v>156420</v>
      </c>
      <c r="S18" s="33">
        <f t="shared" ref="S18:S21" si="5">SUM(G18:R18)/12</f>
        <v>132522.5</v>
      </c>
    </row>
    <row r="19">
      <c r="B19" s="48" t="s">
        <v>16</v>
      </c>
      <c r="C19" s="17" t="s">
        <v>22</v>
      </c>
      <c r="D19" s="17"/>
      <c r="E19" s="27"/>
      <c r="F19" s="17"/>
      <c r="G19" s="28">
        <f>FC!G27</f>
        <v>180000</v>
      </c>
      <c r="H19" s="28">
        <f>FC!H27</f>
        <v>180000</v>
      </c>
      <c r="I19" s="28">
        <f>FC!I27</f>
        <v>190000</v>
      </c>
      <c r="J19" s="28">
        <f>FC!J27</f>
        <v>190000</v>
      </c>
      <c r="K19" s="28">
        <f>FC!K27</f>
        <v>200000</v>
      </c>
      <c r="L19" s="28">
        <f>FC!L27</f>
        <v>210000</v>
      </c>
      <c r="M19" s="28">
        <f>FC!M27</f>
        <v>210000</v>
      </c>
      <c r="N19" s="28">
        <f>FC!N27</f>
        <v>220000</v>
      </c>
      <c r="O19" s="28">
        <f>FC!O27</f>
        <v>220000</v>
      </c>
      <c r="P19" s="28">
        <f>FC!P27</f>
        <v>230000</v>
      </c>
      <c r="Q19" s="28">
        <f>FC!Q27</f>
        <v>230000</v>
      </c>
      <c r="R19" s="28">
        <f>FC!R27</f>
        <v>230000</v>
      </c>
      <c r="S19" s="33">
        <f t="shared" si="5"/>
        <v>207500</v>
      </c>
    </row>
    <row r="20">
      <c r="B20" s="48" t="s">
        <v>16</v>
      </c>
      <c r="C20" s="17" t="s">
        <v>23</v>
      </c>
      <c r="D20" s="17"/>
      <c r="E20" s="27"/>
      <c r="F20" s="17"/>
      <c r="G20" s="28">
        <f>FC!G32</f>
        <v>34000</v>
      </c>
      <c r="H20" s="28">
        <f>FC!H32</f>
        <v>34000</v>
      </c>
      <c r="I20" s="28">
        <f>FC!I32</f>
        <v>34000</v>
      </c>
      <c r="J20" s="28">
        <f>FC!J32</f>
        <v>34000</v>
      </c>
      <c r="K20" s="28">
        <f>FC!K32</f>
        <v>34000</v>
      </c>
      <c r="L20" s="28">
        <f>FC!L32</f>
        <v>34000</v>
      </c>
      <c r="M20" s="28">
        <f>FC!M32</f>
        <v>34000</v>
      </c>
      <c r="N20" s="28">
        <f>FC!N32</f>
        <v>40000</v>
      </c>
      <c r="O20" s="28">
        <f>FC!O32</f>
        <v>40000</v>
      </c>
      <c r="P20" s="28">
        <f>FC!P32</f>
        <v>40000</v>
      </c>
      <c r="Q20" s="28">
        <f>FC!Q32</f>
        <v>40000</v>
      </c>
      <c r="R20" s="28">
        <f>FC!R32</f>
        <v>40000</v>
      </c>
      <c r="S20" s="33">
        <f t="shared" si="5"/>
        <v>36500</v>
      </c>
    </row>
    <row r="21" ht="15.75" customHeight="1">
      <c r="B21" s="48" t="s">
        <v>16</v>
      </c>
      <c r="C21" s="17" t="s">
        <v>24</v>
      </c>
      <c r="D21" s="17"/>
      <c r="E21" s="27"/>
      <c r="F21" s="17"/>
      <c r="G21" s="28">
        <f>FC!G33</f>
        <v>5000</v>
      </c>
      <c r="H21" s="28">
        <f>FC!H33</f>
        <v>5000</v>
      </c>
      <c r="I21" s="28">
        <v>5000.0</v>
      </c>
      <c r="J21" s="28">
        <f>FC!J33</f>
        <v>5000</v>
      </c>
      <c r="K21" s="28">
        <f>FC!K33</f>
        <v>5000</v>
      </c>
      <c r="L21" s="28">
        <f>FC!L33</f>
        <v>5000</v>
      </c>
      <c r="M21" s="28">
        <f>FC!M33</f>
        <v>5000</v>
      </c>
      <c r="N21" s="28">
        <f>FC!N33</f>
        <v>5000</v>
      </c>
      <c r="O21" s="28">
        <f>FC!O33</f>
        <v>5000</v>
      </c>
      <c r="P21" s="28">
        <f>FC!P33</f>
        <v>5000</v>
      </c>
      <c r="Q21" s="28">
        <f>FC!Q33</f>
        <v>5000</v>
      </c>
      <c r="R21" s="28">
        <f>FC!R33</f>
        <v>5000</v>
      </c>
      <c r="S21" s="33">
        <f t="shared" si="5"/>
        <v>5000</v>
      </c>
    </row>
    <row r="22" ht="15.75" customHeight="1">
      <c r="B22" s="20" t="s">
        <v>14</v>
      </c>
      <c r="C22" s="21" t="s">
        <v>25</v>
      </c>
      <c r="D22" s="21"/>
      <c r="E22" s="22"/>
      <c r="F22" s="17"/>
      <c r="G22" s="23">
        <f t="shared" ref="G22:R22" si="6">SUM(G18:G21)</f>
        <v>327625</v>
      </c>
      <c r="H22" s="23">
        <f t="shared" si="6"/>
        <v>331970</v>
      </c>
      <c r="I22" s="23">
        <f t="shared" si="6"/>
        <v>346315</v>
      </c>
      <c r="J22" s="23">
        <f t="shared" si="6"/>
        <v>350660</v>
      </c>
      <c r="K22" s="23">
        <f t="shared" si="6"/>
        <v>365005</v>
      </c>
      <c r="L22" s="23">
        <f t="shared" si="6"/>
        <v>379350</v>
      </c>
      <c r="M22" s="23">
        <f t="shared" si="6"/>
        <v>383695</v>
      </c>
      <c r="N22" s="23">
        <f t="shared" si="6"/>
        <v>404040</v>
      </c>
      <c r="O22" s="23">
        <f t="shared" si="6"/>
        <v>408385</v>
      </c>
      <c r="P22" s="23">
        <f t="shared" si="6"/>
        <v>422730</v>
      </c>
      <c r="Q22" s="23">
        <f t="shared" si="6"/>
        <v>427075</v>
      </c>
      <c r="R22" s="34">
        <f t="shared" si="6"/>
        <v>431420</v>
      </c>
      <c r="S22" s="33">
        <f>S15-S18-S19-S20</f>
        <v>716877.5</v>
      </c>
    </row>
    <row r="23" ht="15.75" customHeight="1">
      <c r="B23" s="36"/>
      <c r="C23" s="37"/>
      <c r="D23" s="38"/>
      <c r="E23" s="39"/>
      <c r="F23" s="17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1"/>
      <c r="S23" s="33"/>
    </row>
    <row r="24" ht="15.75" customHeight="1">
      <c r="B24" s="49"/>
      <c r="C24" s="50" t="s">
        <v>26</v>
      </c>
      <c r="D24" s="50"/>
      <c r="E24" s="51"/>
      <c r="F24" s="17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3"/>
      <c r="S24" s="33"/>
    </row>
    <row r="25" ht="15.75" customHeight="1">
      <c r="B25" s="25" t="s">
        <v>16</v>
      </c>
      <c r="C25" s="26" t="s">
        <v>27</v>
      </c>
      <c r="D25" s="26"/>
      <c r="E25" s="31"/>
      <c r="F25" s="17"/>
      <c r="G25" s="32">
        <f>FC!G18</f>
        <v>145000</v>
      </c>
      <c r="H25" s="32">
        <f>FC!H18</f>
        <v>160000</v>
      </c>
      <c r="I25" s="32">
        <f>FC!I18</f>
        <v>160000</v>
      </c>
      <c r="J25" s="32">
        <f>FC!J18</f>
        <v>180000</v>
      </c>
      <c r="K25" s="32">
        <f>FC!K18</f>
        <v>180000</v>
      </c>
      <c r="L25" s="32">
        <f>FC!L18</f>
        <v>180000</v>
      </c>
      <c r="M25" s="32">
        <f>FC!M18</f>
        <v>200000</v>
      </c>
      <c r="N25" s="32">
        <f>FC!N18</f>
        <v>200000</v>
      </c>
      <c r="O25" s="32">
        <f>FC!O18</f>
        <v>200000</v>
      </c>
      <c r="P25" s="32">
        <f>FC!P18</f>
        <v>200000</v>
      </c>
      <c r="Q25" s="32">
        <f>FC!Q18</f>
        <v>200000</v>
      </c>
      <c r="R25" s="32">
        <f>FC!R18</f>
        <v>200000</v>
      </c>
      <c r="S25" s="54">
        <v>70000.0</v>
      </c>
    </row>
    <row r="26" ht="15.75" customHeight="1">
      <c r="B26" s="48" t="s">
        <v>16</v>
      </c>
      <c r="C26" s="17" t="s">
        <v>28</v>
      </c>
      <c r="D26" s="17"/>
      <c r="E26" s="27"/>
      <c r="F26" s="17"/>
      <c r="G26" s="28">
        <f t="shared" ref="G26:R26" si="7">G25*20%</f>
        <v>29000</v>
      </c>
      <c r="H26" s="28">
        <f t="shared" si="7"/>
        <v>32000</v>
      </c>
      <c r="I26" s="28">
        <f t="shared" si="7"/>
        <v>32000</v>
      </c>
      <c r="J26" s="28">
        <f t="shared" si="7"/>
        <v>36000</v>
      </c>
      <c r="K26" s="28">
        <f t="shared" si="7"/>
        <v>36000</v>
      </c>
      <c r="L26" s="28">
        <f t="shared" si="7"/>
        <v>36000</v>
      </c>
      <c r="M26" s="28">
        <f t="shared" si="7"/>
        <v>40000</v>
      </c>
      <c r="N26" s="28">
        <f t="shared" si="7"/>
        <v>40000</v>
      </c>
      <c r="O26" s="28">
        <f t="shared" si="7"/>
        <v>40000</v>
      </c>
      <c r="P26" s="28">
        <f t="shared" si="7"/>
        <v>40000</v>
      </c>
      <c r="Q26" s="28">
        <f t="shared" si="7"/>
        <v>40000</v>
      </c>
      <c r="R26" s="28">
        <f t="shared" si="7"/>
        <v>40000</v>
      </c>
      <c r="S26" s="54"/>
    </row>
    <row r="27" ht="15.75" customHeight="1">
      <c r="B27" s="48" t="s">
        <v>16</v>
      </c>
      <c r="C27" s="17" t="s">
        <v>29</v>
      </c>
      <c r="D27" s="17"/>
      <c r="E27" s="27"/>
      <c r="F27" s="17"/>
      <c r="G27" s="28">
        <f t="shared" ref="G27:R27" si="8">G25*45%</f>
        <v>65250</v>
      </c>
      <c r="H27" s="28">
        <f t="shared" si="8"/>
        <v>72000</v>
      </c>
      <c r="I27" s="28">
        <f t="shared" si="8"/>
        <v>72000</v>
      </c>
      <c r="J27" s="28">
        <f t="shared" si="8"/>
        <v>81000</v>
      </c>
      <c r="K27" s="28">
        <f t="shared" si="8"/>
        <v>81000</v>
      </c>
      <c r="L27" s="28">
        <f t="shared" si="8"/>
        <v>81000</v>
      </c>
      <c r="M27" s="28">
        <f t="shared" si="8"/>
        <v>90000</v>
      </c>
      <c r="N27" s="28">
        <f t="shared" si="8"/>
        <v>90000</v>
      </c>
      <c r="O27" s="28">
        <f t="shared" si="8"/>
        <v>90000</v>
      </c>
      <c r="P27" s="28">
        <f t="shared" si="8"/>
        <v>90000</v>
      </c>
      <c r="Q27" s="28">
        <f t="shared" si="8"/>
        <v>90000</v>
      </c>
      <c r="R27" s="28">
        <f t="shared" si="8"/>
        <v>90000</v>
      </c>
      <c r="S27" s="33">
        <f t="shared" ref="S27:S36" si="9">SUM(G27:R27)/12</f>
        <v>82687.5</v>
      </c>
    </row>
    <row r="28" ht="15.75" customHeight="1">
      <c r="B28" s="48" t="s">
        <v>16</v>
      </c>
      <c r="C28" s="17" t="s">
        <v>30</v>
      </c>
      <c r="D28" s="17"/>
      <c r="E28" s="27"/>
      <c r="F28" s="17"/>
      <c r="G28" s="28">
        <f>FC!G22</f>
        <v>120000</v>
      </c>
      <c r="H28" s="28">
        <f>FC!H22</f>
        <v>120000</v>
      </c>
      <c r="I28" s="28">
        <f>FC!I22</f>
        <v>130000</v>
      </c>
      <c r="J28" s="28">
        <f>FC!J22</f>
        <v>140000</v>
      </c>
      <c r="K28" s="28">
        <f>FC!K22</f>
        <v>150000</v>
      </c>
      <c r="L28" s="28">
        <f>FC!L22</f>
        <v>160000</v>
      </c>
      <c r="M28" s="28">
        <f>FC!M22</f>
        <v>160000</v>
      </c>
      <c r="N28" s="28">
        <f>FC!N22</f>
        <v>160000</v>
      </c>
      <c r="O28" s="28">
        <f>FC!O22</f>
        <v>160000</v>
      </c>
      <c r="P28" s="28">
        <f>FC!P22</f>
        <v>200000</v>
      </c>
      <c r="Q28" s="28">
        <f>FC!Q22</f>
        <v>200000</v>
      </c>
      <c r="R28" s="28">
        <f>FC!R22</f>
        <v>200000</v>
      </c>
      <c r="S28" s="33">
        <f t="shared" si="9"/>
        <v>158333.3333</v>
      </c>
    </row>
    <row r="29" ht="15.75" customHeight="1">
      <c r="B29" s="48" t="s">
        <v>16</v>
      </c>
      <c r="C29" s="17" t="s">
        <v>31</v>
      </c>
      <c r="D29" s="17"/>
      <c r="E29" s="27"/>
      <c r="F29" s="17"/>
      <c r="G29" s="28">
        <f>FC!G23</f>
        <v>29000</v>
      </c>
      <c r="H29" s="28">
        <f>FC!H23</f>
        <v>32000</v>
      </c>
      <c r="I29" s="28">
        <f>FC!I23</f>
        <v>32000</v>
      </c>
      <c r="J29" s="28">
        <f>FC!J23</f>
        <v>36000</v>
      </c>
      <c r="K29" s="28">
        <f>FC!K23</f>
        <v>36000</v>
      </c>
      <c r="L29" s="28">
        <f>FC!L23</f>
        <v>36000</v>
      </c>
      <c r="M29" s="28">
        <f>FC!M23</f>
        <v>40000</v>
      </c>
      <c r="N29" s="28">
        <f>FC!N23</f>
        <v>40000</v>
      </c>
      <c r="O29" s="28">
        <f>FC!O23</f>
        <v>40000</v>
      </c>
      <c r="P29" s="28">
        <f>FC!P23</f>
        <v>40000</v>
      </c>
      <c r="Q29" s="28">
        <f>FC!Q23</f>
        <v>40000</v>
      </c>
      <c r="R29" s="28">
        <f>FC!R23</f>
        <v>40000</v>
      </c>
      <c r="S29" s="33">
        <f t="shared" si="9"/>
        <v>36750</v>
      </c>
    </row>
    <row r="30" ht="15.75" customHeight="1">
      <c r="B30" s="48" t="s">
        <v>16</v>
      </c>
      <c r="C30" s="17" t="s">
        <v>32</v>
      </c>
      <c r="D30" s="17"/>
      <c r="E30" s="27"/>
      <c r="F30" s="17"/>
      <c r="G30" s="28">
        <f>FC!G24</f>
        <v>32000</v>
      </c>
      <c r="H30" s="28">
        <f>FC!H24</f>
        <v>32000</v>
      </c>
      <c r="I30" s="28">
        <f>FC!I24</f>
        <v>32000</v>
      </c>
      <c r="J30" s="28">
        <f>FC!J24</f>
        <v>32000</v>
      </c>
      <c r="K30" s="28">
        <f>FC!K24</f>
        <v>32000</v>
      </c>
      <c r="L30" s="28">
        <f>FC!L24</f>
        <v>32000</v>
      </c>
      <c r="M30" s="28">
        <f>FC!M24</f>
        <v>32000</v>
      </c>
      <c r="N30" s="28">
        <f>FC!N24</f>
        <v>32000</v>
      </c>
      <c r="O30" s="28">
        <f>FC!O24</f>
        <v>32000</v>
      </c>
      <c r="P30" s="28">
        <f>FC!P24</f>
        <v>32000</v>
      </c>
      <c r="Q30" s="28">
        <f>FC!Q24</f>
        <v>32000</v>
      </c>
      <c r="R30" s="28">
        <f>FC!R24</f>
        <v>32000</v>
      </c>
      <c r="S30" s="33">
        <f t="shared" si="9"/>
        <v>32000</v>
      </c>
    </row>
    <row r="31" ht="15.75" customHeight="1">
      <c r="B31" s="48" t="s">
        <v>16</v>
      </c>
      <c r="C31" s="17" t="s">
        <v>33</v>
      </c>
      <c r="D31" s="17"/>
      <c r="E31" s="27"/>
      <c r="F31" s="17"/>
      <c r="G31" s="28">
        <f>FC!G25</f>
        <v>4500</v>
      </c>
      <c r="H31" s="28">
        <f>FC!H25</f>
        <v>4500</v>
      </c>
      <c r="I31" s="28">
        <f>FC!I25</f>
        <v>4500</v>
      </c>
      <c r="J31" s="28">
        <f>FC!J25</f>
        <v>4500</v>
      </c>
      <c r="K31" s="28">
        <f>FC!K25</f>
        <v>4500</v>
      </c>
      <c r="L31" s="28">
        <f>FC!L25</f>
        <v>4500</v>
      </c>
      <c r="M31" s="28">
        <f>FC!M25</f>
        <v>6500</v>
      </c>
      <c r="N31" s="28">
        <f>FC!N25</f>
        <v>6500</v>
      </c>
      <c r="O31" s="28">
        <f>FC!O25</f>
        <v>6500</v>
      </c>
      <c r="P31" s="28">
        <f>FC!P25</f>
        <v>6500</v>
      </c>
      <c r="Q31" s="28">
        <f>FC!Q25</f>
        <v>6500</v>
      </c>
      <c r="R31" s="28">
        <f>FC!R25</f>
        <v>6500</v>
      </c>
      <c r="S31" s="33">
        <f t="shared" si="9"/>
        <v>5500</v>
      </c>
    </row>
    <row r="32" ht="15.75" customHeight="1">
      <c r="B32" s="48" t="s">
        <v>16</v>
      </c>
      <c r="C32" s="17" t="s">
        <v>34</v>
      </c>
      <c r="D32" s="17"/>
      <c r="E32" s="27"/>
      <c r="F32" s="17"/>
      <c r="G32" s="28">
        <f>FC!G26</f>
        <v>20000</v>
      </c>
      <c r="H32" s="28">
        <f>FC!H26</f>
        <v>20000</v>
      </c>
      <c r="I32" s="28">
        <f>FC!I26</f>
        <v>20000</v>
      </c>
      <c r="J32" s="28">
        <f>FC!J26</f>
        <v>20000</v>
      </c>
      <c r="K32" s="28">
        <f>FC!K26</f>
        <v>20000</v>
      </c>
      <c r="L32" s="28">
        <f>FC!L26</f>
        <v>20000</v>
      </c>
      <c r="M32" s="28">
        <f>FC!M26</f>
        <v>22000</v>
      </c>
      <c r="N32" s="28">
        <f>FC!N26</f>
        <v>22000</v>
      </c>
      <c r="O32" s="28">
        <f>FC!O26</f>
        <v>22000</v>
      </c>
      <c r="P32" s="28">
        <f>FC!P26</f>
        <v>22000</v>
      </c>
      <c r="Q32" s="28">
        <f>FC!Q26</f>
        <v>22000</v>
      </c>
      <c r="R32" s="28">
        <f>FC!R26</f>
        <v>22000</v>
      </c>
      <c r="S32" s="33">
        <f t="shared" si="9"/>
        <v>21000</v>
      </c>
    </row>
    <row r="33" ht="15.75" customHeight="1">
      <c r="B33" s="48" t="s">
        <v>16</v>
      </c>
      <c r="C33" s="17" t="s">
        <v>35</v>
      </c>
      <c r="D33" s="17"/>
      <c r="E33" s="27"/>
      <c r="F33" s="17"/>
      <c r="G33" s="28">
        <f>FC!G28</f>
        <v>30000</v>
      </c>
      <c r="H33" s="28">
        <f>FC!H28</f>
        <v>30000</v>
      </c>
      <c r="I33" s="28">
        <f>FC!I28</f>
        <v>30000</v>
      </c>
      <c r="J33" s="28">
        <f>FC!J28</f>
        <v>30000</v>
      </c>
      <c r="K33" s="28">
        <f>FC!K28</f>
        <v>33000</v>
      </c>
      <c r="L33" s="28">
        <f>FC!L28</f>
        <v>33000</v>
      </c>
      <c r="M33" s="28">
        <f>FC!M28</f>
        <v>33000</v>
      </c>
      <c r="N33" s="28">
        <f>FC!N28</f>
        <v>33000</v>
      </c>
      <c r="O33" s="28">
        <f>FC!O28</f>
        <v>33000</v>
      </c>
      <c r="P33" s="28">
        <f>FC!P28</f>
        <v>35000</v>
      </c>
      <c r="Q33" s="28">
        <f>FC!Q28</f>
        <v>35000</v>
      </c>
      <c r="R33" s="28">
        <f>FC!R28</f>
        <v>35000</v>
      </c>
      <c r="S33" s="33">
        <f t="shared" si="9"/>
        <v>32500</v>
      </c>
    </row>
    <row r="34" ht="15.75" customHeight="1">
      <c r="B34" s="48" t="s">
        <v>16</v>
      </c>
      <c r="C34" s="17" t="s">
        <v>36</v>
      </c>
      <c r="D34" s="17"/>
      <c r="E34" s="27"/>
      <c r="F34" s="17"/>
      <c r="G34" s="28">
        <f>FC!G29</f>
        <v>6000</v>
      </c>
      <c r="H34" s="28">
        <f>FC!H29</f>
        <v>6000</v>
      </c>
      <c r="I34" s="28">
        <f>FC!I29</f>
        <v>6000</v>
      </c>
      <c r="J34" s="28">
        <f>FC!J29</f>
        <v>6000</v>
      </c>
      <c r="K34" s="28">
        <f>FC!K29</f>
        <v>6000</v>
      </c>
      <c r="L34" s="28">
        <f>FC!L29</f>
        <v>6000</v>
      </c>
      <c r="M34" s="28">
        <f>FC!M29</f>
        <v>6000</v>
      </c>
      <c r="N34" s="28">
        <f>FC!N29</f>
        <v>6000</v>
      </c>
      <c r="O34" s="28">
        <f>FC!O29</f>
        <v>6000</v>
      </c>
      <c r="P34" s="28">
        <f>FC!P29</f>
        <v>6000</v>
      </c>
      <c r="Q34" s="28">
        <f>FC!Q29</f>
        <v>6000</v>
      </c>
      <c r="R34" s="28">
        <f>FC!R29</f>
        <v>6000</v>
      </c>
      <c r="S34" s="33">
        <f t="shared" si="9"/>
        <v>6000</v>
      </c>
    </row>
    <row r="35" ht="15.75" customHeight="1">
      <c r="B35" s="48" t="s">
        <v>16</v>
      </c>
      <c r="C35" s="17" t="s">
        <v>37</v>
      </c>
      <c r="D35" s="17"/>
      <c r="E35" s="27"/>
      <c r="F35" s="17"/>
      <c r="G35" s="28">
        <f>FC!G31</f>
        <v>18000</v>
      </c>
      <c r="H35" s="28">
        <f>FC!H31</f>
        <v>18000</v>
      </c>
      <c r="I35" s="28">
        <f>FC!I31</f>
        <v>18000</v>
      </c>
      <c r="J35" s="28">
        <f>FC!J31</f>
        <v>18000</v>
      </c>
      <c r="K35" s="28">
        <f>FC!K31</f>
        <v>18000</v>
      </c>
      <c r="L35" s="28">
        <f>FC!L31</f>
        <v>18000</v>
      </c>
      <c r="M35" s="28">
        <f>FC!M31</f>
        <v>18000</v>
      </c>
      <c r="N35" s="28">
        <f>FC!N31</f>
        <v>20000</v>
      </c>
      <c r="O35" s="28">
        <f>FC!O31</f>
        <v>20000</v>
      </c>
      <c r="P35" s="28">
        <f>FC!P31</f>
        <v>20000</v>
      </c>
      <c r="Q35" s="28">
        <f>FC!Q31</f>
        <v>20000</v>
      </c>
      <c r="R35" s="28">
        <f>FC!R31</f>
        <v>20000</v>
      </c>
      <c r="S35" s="33">
        <f t="shared" si="9"/>
        <v>18833.33333</v>
      </c>
    </row>
    <row r="36" ht="15.75" customHeight="1">
      <c r="B36" s="48" t="s">
        <v>16</v>
      </c>
      <c r="C36" s="17" t="s">
        <v>38</v>
      </c>
      <c r="D36" s="17"/>
      <c r="E36" s="27"/>
      <c r="F36" s="17"/>
      <c r="G36" s="28">
        <f>FC!G35</f>
        <v>20000</v>
      </c>
      <c r="H36" s="28">
        <f>FC!H35</f>
        <v>20000</v>
      </c>
      <c r="I36" s="28">
        <f>FC!I35</f>
        <v>20000</v>
      </c>
      <c r="J36" s="28">
        <f>FC!J35</f>
        <v>20000</v>
      </c>
      <c r="K36" s="28">
        <f>FC!K35</f>
        <v>20000</v>
      </c>
      <c r="L36" s="28">
        <f>FC!L35</f>
        <v>20000</v>
      </c>
      <c r="M36" s="28">
        <f>FC!M35</f>
        <v>20000</v>
      </c>
      <c r="N36" s="28">
        <f>FC!N35</f>
        <v>20000</v>
      </c>
      <c r="O36" s="28">
        <f>FC!O35</f>
        <v>20000</v>
      </c>
      <c r="P36" s="28">
        <f>FC!P35</f>
        <v>20000</v>
      </c>
      <c r="Q36" s="28">
        <f>FC!Q35</f>
        <v>20000</v>
      </c>
      <c r="R36" s="28">
        <f>FC!R35</f>
        <v>20000</v>
      </c>
      <c r="S36" s="33">
        <f t="shared" si="9"/>
        <v>20000</v>
      </c>
    </row>
    <row r="37" ht="15.75" customHeight="1">
      <c r="B37" s="55" t="s">
        <v>14</v>
      </c>
      <c r="C37" s="56" t="s">
        <v>39</v>
      </c>
      <c r="D37" s="56"/>
      <c r="E37" s="57"/>
      <c r="F37" s="17"/>
      <c r="G37" s="58">
        <f t="shared" ref="G37:R37" si="10">SUM(G25:G36)</f>
        <v>518750</v>
      </c>
      <c r="H37" s="58">
        <f t="shared" si="10"/>
        <v>546500</v>
      </c>
      <c r="I37" s="58">
        <f t="shared" si="10"/>
        <v>556500</v>
      </c>
      <c r="J37" s="58">
        <f t="shared" si="10"/>
        <v>603500</v>
      </c>
      <c r="K37" s="58">
        <f t="shared" si="10"/>
        <v>616500</v>
      </c>
      <c r="L37" s="58">
        <f t="shared" si="10"/>
        <v>626500</v>
      </c>
      <c r="M37" s="58">
        <f t="shared" si="10"/>
        <v>667500</v>
      </c>
      <c r="N37" s="58">
        <f t="shared" si="10"/>
        <v>669500</v>
      </c>
      <c r="O37" s="58">
        <f t="shared" si="10"/>
        <v>669500</v>
      </c>
      <c r="P37" s="58">
        <f t="shared" si="10"/>
        <v>711500</v>
      </c>
      <c r="Q37" s="58">
        <f t="shared" si="10"/>
        <v>711500</v>
      </c>
      <c r="R37" s="59">
        <f t="shared" si="10"/>
        <v>711500</v>
      </c>
      <c r="S37" s="33">
        <f>SUM(S14:S36)</f>
        <v>2786754.167</v>
      </c>
    </row>
    <row r="38" ht="15.75" customHeight="1">
      <c r="B38" s="38"/>
      <c r="C38" s="38"/>
      <c r="D38" s="38"/>
      <c r="E38" s="38"/>
      <c r="F38" s="17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1"/>
    </row>
    <row r="39" ht="15.75" customHeight="1">
      <c r="B39" s="62" t="s">
        <v>16</v>
      </c>
      <c r="C39" s="63" t="s">
        <v>40</v>
      </c>
      <c r="D39" s="63"/>
      <c r="E39" s="64"/>
      <c r="F39" s="17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1"/>
    </row>
    <row r="40" ht="15.75" customHeight="1">
      <c r="B40" s="17"/>
      <c r="C40" s="17"/>
      <c r="D40" s="17"/>
      <c r="E40" s="17"/>
      <c r="F40" s="17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30"/>
    </row>
    <row r="41" ht="15.75" customHeight="1">
      <c r="B41" s="67" t="s">
        <v>14</v>
      </c>
      <c r="C41" s="68" t="s">
        <v>41</v>
      </c>
      <c r="D41" s="68"/>
      <c r="E41" s="69"/>
      <c r="F41" s="17"/>
      <c r="G41" s="70">
        <f t="shared" ref="G41:R41" si="11">G15-G22-G37-G39</f>
        <v>7812.5</v>
      </c>
      <c r="H41" s="70">
        <f t="shared" si="11"/>
        <v>9885</v>
      </c>
      <c r="I41" s="70">
        <f t="shared" si="11"/>
        <v>19707.5</v>
      </c>
      <c r="J41" s="70">
        <f t="shared" si="11"/>
        <v>2530</v>
      </c>
      <c r="K41" s="70">
        <f t="shared" si="11"/>
        <v>9352.5</v>
      </c>
      <c r="L41" s="70">
        <f t="shared" si="11"/>
        <v>19175</v>
      </c>
      <c r="M41" s="70">
        <f t="shared" si="11"/>
        <v>7997.5</v>
      </c>
      <c r="N41" s="70">
        <f t="shared" si="11"/>
        <v>19820</v>
      </c>
      <c r="O41" s="70">
        <f t="shared" si="11"/>
        <v>49642.5</v>
      </c>
      <c r="P41" s="70">
        <f t="shared" si="11"/>
        <v>27465</v>
      </c>
      <c r="Q41" s="70">
        <f t="shared" si="11"/>
        <v>57287.5</v>
      </c>
      <c r="R41" s="71">
        <f t="shared" si="11"/>
        <v>87110</v>
      </c>
      <c r="S41" s="35">
        <f>SUM(G41:R41)</f>
        <v>317785</v>
      </c>
    </row>
    <row r="42" ht="15.75" customHeight="1">
      <c r="B42" s="72"/>
      <c r="C42" s="73" t="s">
        <v>42</v>
      </c>
      <c r="D42" s="73"/>
      <c r="E42" s="74"/>
      <c r="F42" s="17"/>
      <c r="G42" s="75">
        <f t="shared" ref="G42:R42" si="12">IF(OR(G12=0,G37=0),"",G37/G12)</f>
        <v>0.5253164557</v>
      </c>
      <c r="H42" s="75">
        <f t="shared" si="12"/>
        <v>0.5321324245</v>
      </c>
      <c r="I42" s="75">
        <f t="shared" si="12"/>
        <v>0.5218002813</v>
      </c>
      <c r="J42" s="75">
        <f t="shared" si="12"/>
        <v>0.5456600362</v>
      </c>
      <c r="K42" s="75">
        <f t="shared" si="12"/>
        <v>0.5381929289</v>
      </c>
      <c r="L42" s="75">
        <f t="shared" si="12"/>
        <v>0.5286919831</v>
      </c>
      <c r="M42" s="75">
        <f t="shared" si="12"/>
        <v>0.5451204573</v>
      </c>
      <c r="N42" s="75">
        <f t="shared" si="12"/>
        <v>0.5296677215</v>
      </c>
      <c r="O42" s="75">
        <f t="shared" si="12"/>
        <v>0.5136171845</v>
      </c>
      <c r="P42" s="75">
        <f t="shared" si="12"/>
        <v>0.5297840655</v>
      </c>
      <c r="Q42" s="75">
        <f t="shared" si="12"/>
        <v>0.5146473779</v>
      </c>
      <c r="R42" s="76">
        <f t="shared" si="12"/>
        <v>0.5003516174</v>
      </c>
      <c r="S42" s="77"/>
    </row>
    <row r="43" ht="15.75" customHeight="1"/>
    <row r="44" ht="15.75" customHeight="1"/>
    <row r="45" ht="15.75" customHeight="1">
      <c r="G45" s="78">
        <f t="shared" ref="G45:R45" si="13">G37+G22+G14+G13</f>
        <v>979687.5</v>
      </c>
      <c r="H45" s="78">
        <f t="shared" si="13"/>
        <v>1017115</v>
      </c>
      <c r="I45" s="78">
        <f t="shared" si="13"/>
        <v>1046792.5</v>
      </c>
      <c r="J45" s="78">
        <f t="shared" si="13"/>
        <v>1103470</v>
      </c>
      <c r="K45" s="78">
        <f t="shared" si="13"/>
        <v>1136147.5</v>
      </c>
      <c r="L45" s="78">
        <f t="shared" si="13"/>
        <v>1165825</v>
      </c>
      <c r="M45" s="78">
        <f t="shared" si="13"/>
        <v>1216502.5</v>
      </c>
      <c r="N45" s="78">
        <f t="shared" si="13"/>
        <v>1244180</v>
      </c>
      <c r="O45" s="78">
        <f t="shared" si="13"/>
        <v>1253857.5</v>
      </c>
      <c r="P45" s="78">
        <f t="shared" si="13"/>
        <v>1315535</v>
      </c>
      <c r="Q45" s="78">
        <f t="shared" si="13"/>
        <v>1325212.5</v>
      </c>
      <c r="R45" s="78">
        <f t="shared" si="13"/>
        <v>1334890</v>
      </c>
    </row>
    <row r="46" ht="15.75" customHeight="1">
      <c r="G46" s="58">
        <v>979687.5</v>
      </c>
      <c r="H46" s="58">
        <v>1017115.0</v>
      </c>
      <c r="I46" s="58">
        <v>1046792.5</v>
      </c>
      <c r="J46" s="58">
        <v>1103470.0</v>
      </c>
      <c r="K46" s="58">
        <v>1136147.5</v>
      </c>
      <c r="L46" s="58">
        <v>1165825.0</v>
      </c>
      <c r="M46" s="58">
        <v>1216502.5</v>
      </c>
      <c r="N46" s="58">
        <v>1244180.0</v>
      </c>
      <c r="O46" s="58">
        <v>1253857.5</v>
      </c>
      <c r="P46" s="58">
        <v>1315535.0</v>
      </c>
      <c r="Q46" s="58">
        <v>1325212.5</v>
      </c>
      <c r="R46" s="58">
        <v>1334890.0</v>
      </c>
    </row>
    <row r="47" ht="12.0" customHeight="1"/>
    <row r="48" ht="15.75" customHeight="1">
      <c r="C48" s="79"/>
      <c r="D48" s="79"/>
      <c r="E48" s="79"/>
      <c r="F48" s="79"/>
      <c r="G48" s="79"/>
      <c r="H48" s="79"/>
      <c r="I48" s="79"/>
      <c r="J48" s="79"/>
      <c r="K48" s="79"/>
      <c r="L48" s="79"/>
    </row>
    <row r="49" ht="15.75" customHeight="1">
      <c r="C49" s="79"/>
      <c r="D49" s="79"/>
      <c r="E49" s="79"/>
      <c r="F49" s="79"/>
      <c r="G49" s="79"/>
      <c r="H49" s="79"/>
      <c r="I49" s="79"/>
      <c r="J49" s="79"/>
      <c r="K49" s="79"/>
      <c r="L49" s="79"/>
    </row>
    <row r="50" ht="15.75" customHeight="1">
      <c r="C50" s="79"/>
    </row>
    <row r="51" ht="15.75" customHeight="1">
      <c r="C51" s="79"/>
    </row>
    <row r="52" ht="15.75" customHeight="1">
      <c r="C52" s="79"/>
    </row>
    <row r="53" ht="15.75" customHeight="1">
      <c r="C53" s="79"/>
    </row>
    <row r="54" ht="15.75" customHeight="1">
      <c r="C54" s="79"/>
    </row>
    <row r="55" ht="15.75" customHeight="1">
      <c r="C55" s="79"/>
    </row>
    <row r="56" ht="15.75" customHeight="1">
      <c r="C56" s="79"/>
    </row>
    <row r="57" ht="15.75" customHeight="1">
      <c r="C57" s="79"/>
    </row>
    <row r="58" ht="15.75" customHeight="1">
      <c r="C58" s="79"/>
    </row>
    <row r="59" ht="15.75" customHeight="1">
      <c r="C59" s="79"/>
    </row>
    <row r="60" ht="15.75" customHeight="1">
      <c r="C60" s="79"/>
    </row>
    <row r="61" ht="15.75" customHeight="1">
      <c r="C61" s="79"/>
    </row>
    <row r="62" ht="15.75" customHeight="1">
      <c r="C62" s="79"/>
    </row>
    <row r="63" ht="15.75" customHeight="1">
      <c r="C63" s="79"/>
    </row>
    <row r="64" ht="15.75" customHeight="1">
      <c r="C64" s="79"/>
    </row>
    <row r="65" ht="15.75" customHeight="1">
      <c r="C65" s="79"/>
    </row>
    <row r="66" ht="15.75" customHeight="1">
      <c r="C66" s="79"/>
    </row>
    <row r="67" ht="15.75" customHeight="1">
      <c r="C67" s="79"/>
    </row>
    <row r="68" ht="15.75" customHeight="1">
      <c r="C68" s="79"/>
    </row>
    <row r="69" ht="15.75" customHeight="1">
      <c r="C69" s="79"/>
    </row>
    <row r="70" ht="15.75" customHeight="1">
      <c r="C70" s="79"/>
    </row>
    <row r="71" ht="15.75" customHeight="1">
      <c r="C71" s="79"/>
    </row>
    <row r="72" ht="15.75" customHeight="1">
      <c r="C72" s="79"/>
    </row>
    <row r="73" ht="15.75" customHeight="1">
      <c r="C73" s="79"/>
    </row>
    <row r="74" ht="15.75" customHeight="1">
      <c r="C74" s="79"/>
    </row>
    <row r="75" ht="15.75" customHeight="1">
      <c r="C75" s="79"/>
    </row>
    <row r="76" ht="15.75" customHeight="1">
      <c r="C76" s="79"/>
    </row>
    <row r="77" ht="15.75" customHeight="1">
      <c r="C77" s="79"/>
    </row>
    <row r="78" ht="15.75" customHeight="1">
      <c r="C78" s="79"/>
    </row>
    <row r="79" ht="15.75" customHeight="1">
      <c r="C79" s="79"/>
    </row>
    <row r="80" ht="15.75" customHeight="1">
      <c r="C80" s="79"/>
    </row>
    <row r="81" ht="15.75" customHeight="1">
      <c r="C81" s="79"/>
    </row>
    <row r="82" ht="15.75" customHeight="1">
      <c r="C82" s="79"/>
    </row>
    <row r="83" ht="15.75" customHeight="1">
      <c r="C83" s="79"/>
    </row>
    <row r="84" ht="15.75" customHeight="1">
      <c r="C84" s="79"/>
    </row>
    <row r="85" ht="15.75" customHeight="1">
      <c r="C85" s="79"/>
    </row>
    <row r="86" ht="15.75" customHeight="1">
      <c r="C86" s="79"/>
    </row>
    <row r="87" ht="15.75" customHeight="1">
      <c r="C87" s="79"/>
    </row>
    <row r="88" ht="15.75" customHeight="1">
      <c r="C88" s="79"/>
    </row>
    <row r="89" ht="15.75" customHeight="1">
      <c r="C89" s="79"/>
    </row>
    <row r="90" ht="15.75" customHeight="1">
      <c r="C90" s="79"/>
    </row>
    <row r="91" ht="15.75" customHeight="1">
      <c r="C91" s="79"/>
      <c r="D91" s="79"/>
      <c r="E91" s="79"/>
      <c r="F91" s="79"/>
      <c r="G91" s="79"/>
      <c r="H91" s="79"/>
      <c r="I91" s="79"/>
      <c r="J91" s="79"/>
      <c r="K91" s="79"/>
      <c r="L91" s="79"/>
    </row>
    <row r="92" ht="15.75" customHeight="1">
      <c r="C92" s="79"/>
      <c r="D92" s="79"/>
      <c r="E92" s="79"/>
      <c r="F92" s="79"/>
      <c r="G92" s="79"/>
      <c r="H92" s="79"/>
      <c r="I92" s="79"/>
      <c r="J92" s="79"/>
      <c r="K92" s="79"/>
      <c r="L92" s="79"/>
    </row>
    <row r="93" ht="15.75" customHeight="1">
      <c r="C93" s="79"/>
      <c r="D93" s="79"/>
      <c r="E93" s="79"/>
      <c r="F93" s="79"/>
      <c r="G93" s="79"/>
      <c r="H93" s="79"/>
      <c r="I93" s="79"/>
      <c r="J93" s="79"/>
      <c r="K93" s="79"/>
      <c r="L93" s="79"/>
    </row>
    <row r="94" ht="15.75" customHeight="1">
      <c r="C94" s="79"/>
      <c r="D94" s="79"/>
      <c r="E94" s="79"/>
      <c r="F94" s="79"/>
      <c r="G94" s="79"/>
      <c r="H94" s="79"/>
      <c r="I94" s="79"/>
      <c r="J94" s="79"/>
      <c r="K94" s="79"/>
      <c r="L94" s="79"/>
    </row>
    <row r="95" ht="15.75" customHeight="1">
      <c r="C95" s="79"/>
      <c r="D95" s="79"/>
      <c r="E95" s="79"/>
      <c r="F95" s="79"/>
      <c r="G95" s="79"/>
      <c r="H95" s="79"/>
      <c r="I95" s="79"/>
      <c r="J95" s="79"/>
      <c r="K95" s="79"/>
      <c r="L95" s="79"/>
    </row>
    <row r="96" ht="15.75" customHeight="1">
      <c r="C96" s="79"/>
      <c r="D96" s="79"/>
      <c r="E96" s="79"/>
      <c r="F96" s="79"/>
      <c r="G96" s="79"/>
      <c r="H96" s="79"/>
      <c r="I96" s="79"/>
      <c r="J96" s="79"/>
      <c r="K96" s="79"/>
      <c r="L96" s="79"/>
    </row>
    <row r="97" ht="15.75" customHeight="1">
      <c r="C97" s="79"/>
      <c r="D97" s="79"/>
      <c r="E97" s="79"/>
      <c r="F97" s="79"/>
      <c r="G97" s="79"/>
      <c r="H97" s="79"/>
      <c r="I97" s="79"/>
      <c r="J97" s="79"/>
      <c r="K97" s="79"/>
      <c r="L97" s="79"/>
    </row>
    <row r="98" ht="15.75" customHeight="1">
      <c r="C98" s="79"/>
      <c r="D98" s="79"/>
      <c r="E98" s="79"/>
      <c r="F98" s="79"/>
      <c r="G98" s="79"/>
      <c r="H98" s="79"/>
      <c r="I98" s="79"/>
      <c r="J98" s="79"/>
      <c r="K98" s="79"/>
      <c r="L98" s="79"/>
    </row>
    <row r="99" ht="15.75" customHeight="1">
      <c r="C99" s="79"/>
      <c r="D99" s="79"/>
      <c r="E99" s="79"/>
      <c r="F99" s="79"/>
      <c r="G99" s="79"/>
      <c r="H99" s="79"/>
      <c r="I99" s="79"/>
      <c r="J99" s="79"/>
      <c r="K99" s="79"/>
      <c r="L99" s="79"/>
    </row>
    <row r="100" ht="15.75" customHeight="1">
      <c r="C100" s="79"/>
      <c r="D100" s="79"/>
      <c r="E100" s="79"/>
      <c r="F100" s="79"/>
      <c r="G100" s="79"/>
      <c r="H100" s="79"/>
      <c r="I100" s="79"/>
      <c r="J100" s="79"/>
      <c r="K100" s="79"/>
      <c r="L100" s="79"/>
    </row>
    <row r="101" ht="15.75" customHeight="1">
      <c r="C101" s="79"/>
      <c r="D101" s="79"/>
      <c r="E101" s="79"/>
      <c r="F101" s="79"/>
      <c r="G101" s="79"/>
      <c r="H101" s="79"/>
      <c r="I101" s="79"/>
      <c r="J101" s="79"/>
      <c r="K101" s="79"/>
      <c r="L101" s="79"/>
    </row>
    <row r="102" ht="15.75" customHeight="1">
      <c r="C102" s="79"/>
      <c r="D102" s="79"/>
      <c r="E102" s="79"/>
      <c r="F102" s="79"/>
      <c r="G102" s="79"/>
      <c r="H102" s="79"/>
      <c r="I102" s="79"/>
      <c r="J102" s="79"/>
      <c r="K102" s="79"/>
      <c r="L102" s="79"/>
    </row>
    <row r="103" ht="15.75" customHeight="1">
      <c r="C103" s="79"/>
      <c r="D103" s="79"/>
      <c r="E103" s="79"/>
      <c r="F103" s="79"/>
      <c r="G103" s="79"/>
      <c r="H103" s="79"/>
      <c r="I103" s="79"/>
      <c r="J103" s="79"/>
      <c r="K103" s="79"/>
      <c r="L103" s="79"/>
    </row>
    <row r="104" ht="15.75" customHeight="1">
      <c r="C104" s="79"/>
      <c r="D104" s="79"/>
      <c r="E104" s="79"/>
      <c r="F104" s="79"/>
      <c r="G104" s="79"/>
      <c r="H104" s="79"/>
      <c r="I104" s="79"/>
      <c r="J104" s="79"/>
      <c r="K104" s="79"/>
      <c r="L104" s="79"/>
    </row>
    <row r="105" ht="15.75" customHeight="1">
      <c r="C105" s="79"/>
      <c r="D105" s="79"/>
      <c r="E105" s="79"/>
      <c r="F105" s="79"/>
      <c r="G105" s="79"/>
      <c r="H105" s="79"/>
      <c r="I105" s="79"/>
      <c r="J105" s="79"/>
      <c r="K105" s="79"/>
      <c r="L105" s="79"/>
    </row>
    <row r="106" ht="15.75" customHeight="1">
      <c r="C106" s="79"/>
      <c r="D106" s="79"/>
      <c r="E106" s="79"/>
      <c r="F106" s="79"/>
      <c r="G106" s="79"/>
      <c r="H106" s="79"/>
      <c r="I106" s="79"/>
      <c r="J106" s="79"/>
      <c r="K106" s="79"/>
      <c r="L106" s="79"/>
    </row>
    <row r="107" ht="15.75" customHeight="1">
      <c r="C107" s="79"/>
      <c r="D107" s="79"/>
      <c r="E107" s="79"/>
      <c r="F107" s="79"/>
      <c r="G107" s="79"/>
      <c r="H107" s="79"/>
      <c r="I107" s="79"/>
      <c r="J107" s="79"/>
      <c r="K107" s="79"/>
      <c r="L107" s="79"/>
    </row>
    <row r="108" ht="15.75" customHeight="1">
      <c r="C108" s="79"/>
      <c r="D108" s="79"/>
      <c r="E108" s="79"/>
      <c r="F108" s="79"/>
      <c r="G108" s="79"/>
      <c r="H108" s="79"/>
      <c r="I108" s="79"/>
      <c r="J108" s="79"/>
      <c r="K108" s="79"/>
      <c r="L108" s="79"/>
    </row>
    <row r="109" ht="15.75" customHeight="1">
      <c r="C109" s="79"/>
      <c r="D109" s="79"/>
      <c r="E109" s="79"/>
      <c r="F109" s="79"/>
      <c r="G109" s="79"/>
      <c r="H109" s="79"/>
      <c r="I109" s="79"/>
      <c r="J109" s="79"/>
      <c r="K109" s="79"/>
      <c r="L109" s="79"/>
    </row>
    <row r="110" ht="15.75" customHeight="1">
      <c r="C110" s="79"/>
      <c r="D110" s="79"/>
      <c r="E110" s="79"/>
      <c r="F110" s="79"/>
      <c r="G110" s="79"/>
      <c r="H110" s="79"/>
      <c r="I110" s="79"/>
      <c r="J110" s="79"/>
      <c r="K110" s="79"/>
      <c r="L110" s="79"/>
    </row>
    <row r="111" ht="15.75" customHeight="1">
      <c r="C111" s="79"/>
      <c r="D111" s="79"/>
      <c r="E111" s="79"/>
      <c r="F111" s="79"/>
      <c r="G111" s="79"/>
      <c r="H111" s="79"/>
      <c r="I111" s="79"/>
      <c r="J111" s="79"/>
      <c r="K111" s="79"/>
      <c r="L111" s="79"/>
    </row>
    <row r="112" ht="15.75" customHeight="1">
      <c r="C112" s="79"/>
      <c r="D112" s="79"/>
      <c r="E112" s="79"/>
      <c r="F112" s="79"/>
      <c r="G112" s="79"/>
      <c r="H112" s="79"/>
      <c r="I112" s="79"/>
      <c r="J112" s="79"/>
      <c r="K112" s="79"/>
      <c r="L112" s="79"/>
    </row>
    <row r="113" ht="15.75" customHeight="1">
      <c r="C113" s="79"/>
      <c r="D113" s="79"/>
      <c r="E113" s="79"/>
      <c r="F113" s="79"/>
      <c r="G113" s="79"/>
      <c r="H113" s="79"/>
      <c r="I113" s="79"/>
      <c r="J113" s="79"/>
      <c r="K113" s="79"/>
      <c r="L113" s="79"/>
    </row>
    <row r="114" ht="15.75" customHeight="1">
      <c r="C114" s="79"/>
      <c r="D114" s="79"/>
      <c r="E114" s="79"/>
      <c r="F114" s="79"/>
      <c r="G114" s="79"/>
      <c r="H114" s="79"/>
      <c r="I114" s="79"/>
      <c r="J114" s="79"/>
      <c r="K114" s="79"/>
      <c r="L114" s="79"/>
    </row>
    <row r="115" ht="15.75" customHeight="1">
      <c r="C115" s="79"/>
      <c r="D115" s="79"/>
      <c r="E115" s="79"/>
      <c r="F115" s="79"/>
      <c r="G115" s="79"/>
      <c r="H115" s="79"/>
      <c r="I115" s="79"/>
      <c r="J115" s="79"/>
      <c r="K115" s="79"/>
      <c r="L115" s="79"/>
    </row>
    <row r="116" ht="15.75" customHeight="1">
      <c r="C116" s="79"/>
      <c r="D116" s="79"/>
      <c r="E116" s="79"/>
      <c r="F116" s="79"/>
      <c r="G116" s="79"/>
      <c r="H116" s="79"/>
      <c r="I116" s="79"/>
      <c r="J116" s="79"/>
      <c r="K116" s="79"/>
      <c r="L116" s="79"/>
    </row>
    <row r="117" ht="15.75" customHeight="1">
      <c r="C117" s="79"/>
      <c r="D117" s="79"/>
      <c r="E117" s="79"/>
      <c r="F117" s="79"/>
      <c r="G117" s="79"/>
      <c r="H117" s="79"/>
      <c r="I117" s="79"/>
      <c r="J117" s="79"/>
      <c r="K117" s="79"/>
      <c r="L117" s="79"/>
    </row>
    <row r="118" ht="15.75" customHeight="1">
      <c r="C118" s="79"/>
      <c r="D118" s="79"/>
      <c r="E118" s="79"/>
      <c r="F118" s="79"/>
      <c r="G118" s="79"/>
      <c r="H118" s="79"/>
      <c r="I118" s="79"/>
      <c r="J118" s="79"/>
      <c r="K118" s="79"/>
      <c r="L118" s="79"/>
    </row>
    <row r="119" ht="15.75" customHeight="1">
      <c r="C119" s="79"/>
      <c r="D119" s="79"/>
      <c r="E119" s="79"/>
      <c r="F119" s="79"/>
      <c r="G119" s="79"/>
      <c r="H119" s="79"/>
      <c r="I119" s="79"/>
      <c r="J119" s="79"/>
      <c r="K119" s="79"/>
      <c r="L119" s="79"/>
    </row>
    <row r="120" ht="15.75" customHeight="1">
      <c r="C120" s="79"/>
      <c r="D120" s="79"/>
      <c r="E120" s="79"/>
      <c r="F120" s="79"/>
      <c r="G120" s="79"/>
      <c r="H120" s="79"/>
      <c r="I120" s="79"/>
      <c r="J120" s="79"/>
      <c r="K120" s="79"/>
      <c r="L120" s="79"/>
    </row>
    <row r="121" ht="15.75" customHeight="1">
      <c r="C121" s="79"/>
      <c r="D121" s="79"/>
      <c r="E121" s="79"/>
      <c r="F121" s="79"/>
      <c r="G121" s="79"/>
      <c r="H121" s="79"/>
      <c r="I121" s="79"/>
      <c r="J121" s="79"/>
      <c r="K121" s="79"/>
      <c r="L121" s="79"/>
    </row>
    <row r="122" ht="15.75" customHeight="1">
      <c r="C122" s="79"/>
      <c r="D122" s="79"/>
      <c r="E122" s="79"/>
      <c r="F122" s="79"/>
      <c r="G122" s="79"/>
      <c r="H122" s="79"/>
      <c r="I122" s="79"/>
      <c r="J122" s="79"/>
      <c r="K122" s="79"/>
      <c r="L122" s="79"/>
    </row>
    <row r="123" ht="15.75" customHeight="1">
      <c r="C123" s="79"/>
      <c r="D123" s="79"/>
      <c r="E123" s="79"/>
      <c r="F123" s="79"/>
      <c r="G123" s="79"/>
      <c r="H123" s="79"/>
      <c r="I123" s="79"/>
      <c r="J123" s="79"/>
      <c r="K123" s="79"/>
      <c r="L123" s="79"/>
    </row>
    <row r="124" ht="15.75" customHeight="1">
      <c r="C124" s="79"/>
      <c r="D124" s="79"/>
      <c r="E124" s="79"/>
      <c r="F124" s="79"/>
      <c r="G124" s="79"/>
      <c r="H124" s="79"/>
      <c r="I124" s="79"/>
      <c r="J124" s="79"/>
      <c r="K124" s="79"/>
      <c r="L124" s="79"/>
    </row>
    <row r="125" ht="15.75" customHeight="1">
      <c r="C125" s="79"/>
      <c r="D125" s="79"/>
      <c r="E125" s="79"/>
      <c r="F125" s="79"/>
      <c r="G125" s="79"/>
      <c r="H125" s="79"/>
      <c r="I125" s="79"/>
      <c r="J125" s="79"/>
      <c r="K125" s="79"/>
      <c r="L125" s="79"/>
    </row>
    <row r="126" ht="15.75" customHeight="1">
      <c r="C126" s="79"/>
      <c r="D126" s="79"/>
      <c r="E126" s="79"/>
      <c r="F126" s="79"/>
      <c r="G126" s="79"/>
      <c r="H126" s="79"/>
      <c r="I126" s="79"/>
      <c r="J126" s="79"/>
      <c r="K126" s="79"/>
      <c r="L126" s="79"/>
    </row>
    <row r="127" ht="15.75" customHeight="1">
      <c r="C127" s="79"/>
      <c r="D127" s="79"/>
      <c r="E127" s="79"/>
      <c r="F127" s="79"/>
      <c r="G127" s="79"/>
      <c r="H127" s="79"/>
      <c r="I127" s="79"/>
      <c r="J127" s="79"/>
      <c r="K127" s="79"/>
      <c r="L127" s="79"/>
    </row>
    <row r="128" ht="15.75" customHeight="1">
      <c r="C128" s="79"/>
      <c r="D128" s="79"/>
      <c r="E128" s="79"/>
      <c r="F128" s="79"/>
      <c r="G128" s="79"/>
      <c r="H128" s="79"/>
      <c r="I128" s="79"/>
      <c r="J128" s="79"/>
      <c r="K128" s="79"/>
      <c r="L128" s="79"/>
    </row>
    <row r="129" ht="15.75" customHeight="1">
      <c r="C129" s="79"/>
      <c r="D129" s="79"/>
      <c r="E129" s="79"/>
      <c r="F129" s="79"/>
      <c r="G129" s="79"/>
      <c r="H129" s="79"/>
      <c r="I129" s="79"/>
      <c r="J129" s="79"/>
      <c r="K129" s="79"/>
      <c r="L129" s="79"/>
    </row>
    <row r="130" ht="15.75" customHeight="1">
      <c r="C130" s="79"/>
      <c r="D130" s="79"/>
      <c r="E130" s="79"/>
      <c r="F130" s="79"/>
      <c r="G130" s="79"/>
      <c r="H130" s="79"/>
      <c r="I130" s="79"/>
      <c r="J130" s="79"/>
      <c r="K130" s="79"/>
      <c r="L130" s="79"/>
    </row>
    <row r="131" ht="15.75" customHeight="1">
      <c r="C131" s="79"/>
      <c r="D131" s="79"/>
      <c r="E131" s="79"/>
      <c r="F131" s="79"/>
      <c r="G131" s="79"/>
      <c r="H131" s="79"/>
      <c r="I131" s="79"/>
      <c r="J131" s="79"/>
      <c r="K131" s="79"/>
      <c r="L131" s="79"/>
    </row>
    <row r="132" ht="15.75" customHeight="1">
      <c r="C132" s="79"/>
      <c r="D132" s="79"/>
      <c r="E132" s="79"/>
      <c r="F132" s="79"/>
      <c r="G132" s="79"/>
      <c r="H132" s="79"/>
      <c r="I132" s="79"/>
      <c r="J132" s="79"/>
      <c r="K132" s="79"/>
      <c r="L132" s="79"/>
    </row>
    <row r="133" ht="15.75" customHeight="1">
      <c r="C133" s="79"/>
      <c r="D133" s="79"/>
      <c r="E133" s="79"/>
      <c r="F133" s="79"/>
      <c r="G133" s="79"/>
      <c r="H133" s="79"/>
      <c r="I133" s="79"/>
      <c r="J133" s="79"/>
      <c r="K133" s="79"/>
      <c r="L133" s="79"/>
    </row>
    <row r="134" ht="15.75" customHeight="1">
      <c r="C134" s="79"/>
      <c r="D134" s="79"/>
      <c r="E134" s="79"/>
      <c r="F134" s="79"/>
      <c r="G134" s="79"/>
      <c r="H134" s="79"/>
      <c r="I134" s="79"/>
      <c r="J134" s="79"/>
      <c r="K134" s="79"/>
      <c r="L134" s="79"/>
    </row>
    <row r="135" ht="15.75" customHeight="1">
      <c r="C135" s="79"/>
      <c r="D135" s="79"/>
      <c r="E135" s="79"/>
      <c r="F135" s="79"/>
      <c r="G135" s="79"/>
      <c r="H135" s="79"/>
      <c r="I135" s="79"/>
      <c r="J135" s="79"/>
      <c r="K135" s="79"/>
      <c r="L135" s="79"/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7:S7"/>
    <mergeCell ref="B9:E10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4.71"/>
    <col customWidth="1" min="3" max="3" width="10.71"/>
    <col customWidth="1" min="4" max="4" width="9.14"/>
    <col customWidth="1" min="5" max="5" width="16.14"/>
    <col customWidth="1" min="6" max="6" width="1.71"/>
    <col customWidth="1" min="7" max="18" width="12.86"/>
    <col customWidth="1" hidden="1" min="19" max="25" width="13.14"/>
    <col customWidth="1" hidden="1" min="26" max="26" width="14.0"/>
    <col customWidth="1" hidden="1" min="27" max="31" width="13.14"/>
    <col customWidth="1" min="32" max="32" width="12.86"/>
    <col customWidth="1" min="33" max="33" width="9.14"/>
    <col customWidth="1" min="34" max="34" width="10.29"/>
    <col customWidth="1" min="35" max="35" width="9.14"/>
  </cols>
  <sheetData>
    <row r="1" ht="12.75" customHeight="1">
      <c r="A1" s="4"/>
      <c r="B1" s="4"/>
      <c r="C1" s="4"/>
      <c r="D1" s="4"/>
      <c r="E1" s="4"/>
      <c r="F1" s="4"/>
      <c r="G1" s="4"/>
      <c r="H1" s="4"/>
      <c r="I1" s="5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ht="12.75" customHeight="1">
      <c r="A2" s="4"/>
      <c r="B2" s="4"/>
      <c r="C2" s="4"/>
      <c r="D2" s="4"/>
      <c r="E2" s="4"/>
      <c r="F2" s="4"/>
      <c r="G2" s="4"/>
      <c r="H2" s="4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ht="12.75" customHeight="1">
      <c r="A3" s="4"/>
      <c r="B3" s="4"/>
      <c r="C3" s="4"/>
      <c r="D3" s="4"/>
      <c r="E3" s="4"/>
      <c r="F3" s="4"/>
      <c r="G3" s="80"/>
      <c r="H3" s="80"/>
      <c r="I3" s="5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ht="12.75" customHeight="1">
      <c r="A4" s="4"/>
      <c r="B4" s="4"/>
      <c r="C4" s="4"/>
      <c r="D4" s="4"/>
      <c r="E4" s="4"/>
      <c r="F4" s="4"/>
      <c r="G4" s="81"/>
      <c r="H4" s="81"/>
      <c r="I4" s="5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12.75" customHeight="1">
      <c r="A5" s="4"/>
      <c r="B5" s="4"/>
      <c r="C5" s="4"/>
      <c r="D5" s="4"/>
      <c r="E5" s="4"/>
      <c r="F5" s="4"/>
      <c r="G5" s="80"/>
      <c r="H5" s="4"/>
      <c r="I5" s="5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12.75" customHeight="1">
      <c r="A6" s="4"/>
      <c r="B6" s="4"/>
      <c r="C6" s="4"/>
      <c r="D6" s="4"/>
      <c r="E6" s="4"/>
      <c r="F6" s="4"/>
      <c r="G6" s="80"/>
      <c r="H6" s="4"/>
      <c r="I6" s="5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ht="19.5" customHeight="1">
      <c r="A7" s="4"/>
      <c r="B7" s="1" t="s">
        <v>43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3"/>
      <c r="AG7" s="4"/>
      <c r="AH7" s="4"/>
      <c r="AI7" s="4"/>
    </row>
    <row r="8" ht="12.75" customHeight="1">
      <c r="A8" s="4"/>
      <c r="B8" s="4"/>
      <c r="C8" s="4"/>
      <c r="D8" s="4"/>
      <c r="E8" s="4"/>
      <c r="F8" s="4"/>
      <c r="G8" s="4"/>
      <c r="H8" s="4"/>
      <c r="I8" s="5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ht="12.75" customHeight="1">
      <c r="A9" s="4"/>
      <c r="B9" s="6"/>
      <c r="C9" s="7"/>
      <c r="D9" s="7"/>
      <c r="E9" s="8"/>
      <c r="F9" s="9"/>
      <c r="G9" s="10" t="s">
        <v>0</v>
      </c>
      <c r="H9" s="10" t="s">
        <v>1</v>
      </c>
      <c r="I9" s="10" t="s">
        <v>2</v>
      </c>
      <c r="J9" s="10" t="s">
        <v>3</v>
      </c>
      <c r="K9" s="10" t="s">
        <v>4</v>
      </c>
      <c r="L9" s="10" t="s">
        <v>5</v>
      </c>
      <c r="M9" s="10" t="s">
        <v>6</v>
      </c>
      <c r="N9" s="10" t="s">
        <v>7</v>
      </c>
      <c r="O9" s="10" t="s">
        <v>8</v>
      </c>
      <c r="P9" s="10" t="s">
        <v>9</v>
      </c>
      <c r="Q9" s="10" t="s">
        <v>10</v>
      </c>
      <c r="R9" s="10" t="s">
        <v>11</v>
      </c>
      <c r="S9" s="82">
        <v>6.0</v>
      </c>
      <c r="T9" s="82"/>
      <c r="U9" s="82">
        <v>7.0</v>
      </c>
      <c r="V9" s="82"/>
      <c r="W9" s="82">
        <v>8.0</v>
      </c>
      <c r="X9" s="82"/>
      <c r="Y9" s="82">
        <v>9.0</v>
      </c>
      <c r="Z9" s="82"/>
      <c r="AA9" s="82">
        <v>10.0</v>
      </c>
      <c r="AB9" s="82"/>
      <c r="AC9" s="82">
        <v>11.0</v>
      </c>
      <c r="AD9" s="82"/>
      <c r="AE9" s="82">
        <v>12.0</v>
      </c>
      <c r="AF9" s="10" t="s">
        <v>12</v>
      </c>
      <c r="AG9" s="4"/>
      <c r="AH9" s="4"/>
      <c r="AI9" s="4"/>
    </row>
    <row r="10" ht="12.75" customHeight="1">
      <c r="A10" s="4"/>
      <c r="B10" s="11"/>
      <c r="C10" s="12"/>
      <c r="D10" s="12"/>
      <c r="E10" s="13"/>
      <c r="F10" s="9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5" t="s">
        <v>44</v>
      </c>
      <c r="T10" s="15" t="s">
        <v>13</v>
      </c>
      <c r="U10" s="15" t="s">
        <v>45</v>
      </c>
      <c r="V10" s="15" t="s">
        <v>13</v>
      </c>
      <c r="W10" s="15" t="s">
        <v>46</v>
      </c>
      <c r="X10" s="15" t="s">
        <v>13</v>
      </c>
      <c r="Y10" s="15" t="s">
        <v>47</v>
      </c>
      <c r="Z10" s="15" t="s">
        <v>13</v>
      </c>
      <c r="AA10" s="15" t="s">
        <v>48</v>
      </c>
      <c r="AB10" s="15" t="s">
        <v>13</v>
      </c>
      <c r="AC10" s="15" t="s">
        <v>10</v>
      </c>
      <c r="AD10" s="15" t="s">
        <v>13</v>
      </c>
      <c r="AE10" s="15" t="s">
        <v>11</v>
      </c>
      <c r="AF10" s="15" t="s">
        <v>13</v>
      </c>
      <c r="AG10" s="4"/>
      <c r="AH10" s="4"/>
      <c r="AI10" s="4"/>
    </row>
    <row r="11" ht="6.0" customHeight="1">
      <c r="A11" s="4"/>
      <c r="B11" s="16"/>
      <c r="C11" s="16"/>
      <c r="D11" s="16"/>
      <c r="E11" s="16"/>
      <c r="F11" s="17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4"/>
      <c r="AH11" s="4"/>
      <c r="AI11" s="4"/>
    </row>
    <row r="12" ht="15.0" customHeight="1">
      <c r="A12" s="4"/>
      <c r="B12" s="83" t="s">
        <v>49</v>
      </c>
      <c r="C12" s="84"/>
      <c r="D12" s="84"/>
      <c r="E12" s="85"/>
      <c r="F12" s="17"/>
      <c r="G12" s="86">
        <v>12500.0</v>
      </c>
      <c r="H12" s="87">
        <v>13000.0</v>
      </c>
      <c r="I12" s="87">
        <v>13500.0</v>
      </c>
      <c r="J12" s="87">
        <v>14000.0</v>
      </c>
      <c r="K12" s="87">
        <v>14500.0</v>
      </c>
      <c r="L12" s="87">
        <v>15000.0</v>
      </c>
      <c r="M12" s="87">
        <v>15500.0</v>
      </c>
      <c r="N12" s="87">
        <v>16000.0</v>
      </c>
      <c r="O12" s="87">
        <v>16500.0</v>
      </c>
      <c r="P12" s="87">
        <v>17000.0</v>
      </c>
      <c r="Q12" s="87">
        <v>17500.0</v>
      </c>
      <c r="R12" s="87">
        <v>18000.0</v>
      </c>
      <c r="S12" s="88" t="str">
        <f>S16/S14</f>
        <v>#DIV/0!</v>
      </c>
      <c r="T12" s="89">
        <v>14909.0</v>
      </c>
      <c r="U12" s="90"/>
      <c r="V12" s="89">
        <v>14909.0</v>
      </c>
      <c r="W12" s="90"/>
      <c r="X12" s="89">
        <v>14909.0</v>
      </c>
      <c r="Y12" s="90"/>
      <c r="Z12" s="89">
        <v>14909.0</v>
      </c>
      <c r="AA12" s="90"/>
      <c r="AB12" s="89">
        <v>14909.0</v>
      </c>
      <c r="AC12" s="90"/>
      <c r="AD12" s="89">
        <v>14909.0</v>
      </c>
      <c r="AE12" s="90"/>
      <c r="AF12" s="91">
        <f>SUM(G12:R12)/12</f>
        <v>15250</v>
      </c>
      <c r="AG12" s="4"/>
      <c r="AH12" s="92"/>
      <c r="AI12" s="4"/>
    </row>
    <row r="13" ht="15.0" customHeight="1">
      <c r="A13" s="4"/>
      <c r="B13" s="16"/>
      <c r="C13" s="16"/>
      <c r="D13" s="16"/>
      <c r="E13" s="16"/>
      <c r="F13" s="17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4"/>
      <c r="AH13" s="4"/>
      <c r="AI13" s="4"/>
    </row>
    <row r="14" ht="15.0" customHeight="1">
      <c r="A14" s="4"/>
      <c r="B14" s="83" t="s">
        <v>50</v>
      </c>
      <c r="C14" s="84"/>
      <c r="D14" s="84"/>
      <c r="E14" s="85"/>
      <c r="F14" s="17"/>
      <c r="G14" s="93">
        <v>79.0</v>
      </c>
      <c r="H14" s="93">
        <v>79.0</v>
      </c>
      <c r="I14" s="93">
        <v>79.0</v>
      </c>
      <c r="J14" s="93">
        <v>79.0</v>
      </c>
      <c r="K14" s="93">
        <v>79.0</v>
      </c>
      <c r="L14" s="93">
        <v>79.0</v>
      </c>
      <c r="M14" s="93">
        <v>79.0</v>
      </c>
      <c r="N14" s="93">
        <v>79.0</v>
      </c>
      <c r="O14" s="93">
        <v>79.0</v>
      </c>
      <c r="P14" s="93">
        <v>79.0</v>
      </c>
      <c r="Q14" s="93">
        <v>79.0</v>
      </c>
      <c r="R14" s="93">
        <v>79.0</v>
      </c>
      <c r="S14" s="94"/>
      <c r="T14" s="70">
        <f>T16/T12</f>
        <v>10.96990408</v>
      </c>
      <c r="U14" s="94"/>
      <c r="V14" s="70">
        <f>V16/V12</f>
        <v>10.96990408</v>
      </c>
      <c r="W14" s="94"/>
      <c r="X14" s="70">
        <f>X16/X12</f>
        <v>10.96990408</v>
      </c>
      <c r="Y14" s="94"/>
      <c r="Z14" s="70">
        <f>Z16/Z12</f>
        <v>10.96990408</v>
      </c>
      <c r="AA14" s="94"/>
      <c r="AB14" s="70">
        <f>AB16/AB12</f>
        <v>10.96990408</v>
      </c>
      <c r="AC14" s="94"/>
      <c r="AD14" s="70">
        <f>AD16/AD12</f>
        <v>10.96990408</v>
      </c>
      <c r="AE14" s="94"/>
      <c r="AF14" s="95">
        <f>SUM(G14:R14)/12</f>
        <v>79</v>
      </c>
      <c r="AG14" s="4"/>
      <c r="AH14" s="4"/>
      <c r="AI14" s="4"/>
    </row>
    <row r="15" ht="15.0" customHeight="1">
      <c r="A15" s="4"/>
      <c r="B15" s="16"/>
      <c r="C15" s="16"/>
      <c r="D15" s="16"/>
      <c r="E15" s="16"/>
      <c r="F15" s="17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4"/>
      <c r="AH15" s="4"/>
      <c r="AI15" s="4"/>
    </row>
    <row r="16" ht="15.0" customHeight="1">
      <c r="A16" s="4"/>
      <c r="B16" s="20" t="s">
        <v>14</v>
      </c>
      <c r="C16" s="21" t="s">
        <v>15</v>
      </c>
      <c r="D16" s="21"/>
      <c r="E16" s="22"/>
      <c r="F16" s="17"/>
      <c r="G16" s="23">
        <f t="shared" ref="G16:R16" si="1">G14*G12</f>
        <v>987500</v>
      </c>
      <c r="H16" s="23">
        <f t="shared" si="1"/>
        <v>1027000</v>
      </c>
      <c r="I16" s="23">
        <f t="shared" si="1"/>
        <v>1066500</v>
      </c>
      <c r="J16" s="23">
        <f t="shared" si="1"/>
        <v>1106000</v>
      </c>
      <c r="K16" s="23">
        <f t="shared" si="1"/>
        <v>1145500</v>
      </c>
      <c r="L16" s="23">
        <f t="shared" si="1"/>
        <v>1185000</v>
      </c>
      <c r="M16" s="23">
        <f t="shared" si="1"/>
        <v>1224500</v>
      </c>
      <c r="N16" s="23">
        <f t="shared" si="1"/>
        <v>1264000</v>
      </c>
      <c r="O16" s="23">
        <f t="shared" si="1"/>
        <v>1303500</v>
      </c>
      <c r="P16" s="23">
        <f t="shared" si="1"/>
        <v>1343000</v>
      </c>
      <c r="Q16" s="23">
        <f t="shared" si="1"/>
        <v>1382500</v>
      </c>
      <c r="R16" s="23">
        <f t="shared" si="1"/>
        <v>1422000</v>
      </c>
      <c r="S16" s="96">
        <v>1130000.0</v>
      </c>
      <c r="T16" s="23">
        <v>163550.3</v>
      </c>
      <c r="U16" s="97">
        <f>1391.01+108+471.66+3793.94+1247.5+1006.82+3301.45+770.92+1107.74+574.47+1782.45</f>
        <v>15555.96</v>
      </c>
      <c r="V16" s="23">
        <v>163550.3</v>
      </c>
      <c r="W16" s="97">
        <f>1391.01+108+471.66+3793.94+1247.5+1006.82+3301.45+770.92+1107.74+574.47+1782.45</f>
        <v>15555.96</v>
      </c>
      <c r="X16" s="23">
        <v>163550.3</v>
      </c>
      <c r="Y16" s="97">
        <f>1391.01+108+471.66+3793.94+1247.5+1006.82+3301.45+770.92+1107.74+574.47+1782.45</f>
        <v>15555.96</v>
      </c>
      <c r="Z16" s="23">
        <v>163550.3</v>
      </c>
      <c r="AA16" s="97">
        <f>1391.01+108+471.66+3793.94+1247.5+1006.82+3301.45+770.92+1107.74+574.47+1782.45</f>
        <v>15555.96</v>
      </c>
      <c r="AB16" s="23">
        <v>163550.3</v>
      </c>
      <c r="AC16" s="97">
        <f>1391.01+108+471.66+3793.94+1247.5+1006.82+3301.45+770.92+1107.74+574.47+1782.45</f>
        <v>15555.96</v>
      </c>
      <c r="AD16" s="23">
        <v>163550.3</v>
      </c>
      <c r="AE16" s="97">
        <f>1391.01+108+471.66+3793.94+1247.5+1006.82+3301.45+770.92+1107.74+574.47+1782.45</f>
        <v>15555.96</v>
      </c>
      <c r="AF16" s="98">
        <f>SUM(G16:R16)/12</f>
        <v>1204750</v>
      </c>
      <c r="AG16" s="4"/>
      <c r="AH16" s="4"/>
      <c r="AI16" s="4"/>
    </row>
    <row r="17" ht="15.0" customHeight="1">
      <c r="A17" s="4"/>
      <c r="B17" s="16"/>
      <c r="C17" s="16"/>
      <c r="D17" s="16"/>
      <c r="E17" s="16"/>
      <c r="F17" s="17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4"/>
      <c r="AH17" s="4"/>
      <c r="AI17" s="4"/>
    </row>
    <row r="18" ht="15.0" customHeight="1">
      <c r="A18" s="4"/>
      <c r="B18" s="25" t="s">
        <v>16</v>
      </c>
      <c r="C18" s="26" t="s">
        <v>27</v>
      </c>
      <c r="D18" s="26"/>
      <c r="E18" s="31"/>
      <c r="F18" s="17"/>
      <c r="G18" s="32">
        <v>145000.0</v>
      </c>
      <c r="H18" s="32">
        <v>160000.0</v>
      </c>
      <c r="I18" s="32">
        <v>160000.0</v>
      </c>
      <c r="J18" s="32">
        <v>180000.0</v>
      </c>
      <c r="K18" s="32">
        <v>180000.0</v>
      </c>
      <c r="L18" s="32">
        <v>180000.0</v>
      </c>
      <c r="M18" s="32">
        <v>200000.0</v>
      </c>
      <c r="N18" s="32">
        <v>200000.0</v>
      </c>
      <c r="O18" s="32">
        <v>200000.0</v>
      </c>
      <c r="P18" s="32">
        <v>200000.0</v>
      </c>
      <c r="Q18" s="32">
        <v>200000.0</v>
      </c>
      <c r="R18" s="32">
        <v>200000.0</v>
      </c>
      <c r="S18" s="99">
        <v>70000.0</v>
      </c>
      <c r="T18" s="100"/>
      <c r="U18" s="99">
        <v>70000.0</v>
      </c>
      <c r="V18" s="100"/>
      <c r="W18" s="99">
        <v>70000.0</v>
      </c>
      <c r="X18" s="100"/>
      <c r="Y18" s="99">
        <v>80000.0</v>
      </c>
      <c r="Z18" s="100"/>
      <c r="AA18" s="99">
        <v>80000.0</v>
      </c>
      <c r="AB18" s="100"/>
      <c r="AC18" s="99">
        <v>80000.0</v>
      </c>
      <c r="AD18" s="100"/>
      <c r="AE18" s="99">
        <v>80000.0</v>
      </c>
      <c r="AF18" s="91">
        <f t="shared" ref="AF18:AF35" si="3">SUM(G18:R18)/12</f>
        <v>183750</v>
      </c>
      <c r="AG18" s="4"/>
      <c r="AH18" s="101">
        <v>112280.44285714287</v>
      </c>
      <c r="AI18" s="4">
        <f t="shared" ref="AI18:AI36" si="4">((G18/AH18)-1)*100</f>
        <v>29.14092277</v>
      </c>
    </row>
    <row r="19" ht="15.0" customHeight="1">
      <c r="A19" s="4"/>
      <c r="B19" s="25" t="s">
        <v>16</v>
      </c>
      <c r="C19" s="26" t="s">
        <v>17</v>
      </c>
      <c r="D19" s="17"/>
      <c r="E19" s="27"/>
      <c r="F19" s="17"/>
      <c r="G19" s="28">
        <f t="shared" ref="G19:R19" si="2">G16*5%</f>
        <v>49375</v>
      </c>
      <c r="H19" s="28">
        <f t="shared" si="2"/>
        <v>51350</v>
      </c>
      <c r="I19" s="28">
        <f t="shared" si="2"/>
        <v>53325</v>
      </c>
      <c r="J19" s="28">
        <f t="shared" si="2"/>
        <v>55300</v>
      </c>
      <c r="K19" s="28">
        <f t="shared" si="2"/>
        <v>57275</v>
      </c>
      <c r="L19" s="28">
        <f t="shared" si="2"/>
        <v>59250</v>
      </c>
      <c r="M19" s="28">
        <f t="shared" si="2"/>
        <v>61225</v>
      </c>
      <c r="N19" s="28">
        <f t="shared" si="2"/>
        <v>63200</v>
      </c>
      <c r="O19" s="28">
        <f t="shared" si="2"/>
        <v>65175</v>
      </c>
      <c r="P19" s="28">
        <f t="shared" si="2"/>
        <v>67150</v>
      </c>
      <c r="Q19" s="28">
        <f t="shared" si="2"/>
        <v>69125</v>
      </c>
      <c r="R19" s="28">
        <f t="shared" si="2"/>
        <v>71100</v>
      </c>
      <c r="S19" s="102"/>
      <c r="T19" s="103"/>
      <c r="U19" s="102"/>
      <c r="V19" s="103"/>
      <c r="W19" s="102"/>
      <c r="X19" s="103"/>
      <c r="Y19" s="102"/>
      <c r="Z19" s="103"/>
      <c r="AA19" s="102"/>
      <c r="AB19" s="103"/>
      <c r="AC19" s="102"/>
      <c r="AD19" s="103"/>
      <c r="AE19" s="102"/>
      <c r="AF19" s="91">
        <f t="shared" si="3"/>
        <v>60237.5</v>
      </c>
      <c r="AG19" s="4"/>
      <c r="AH19" s="101">
        <v>27141.87714285714</v>
      </c>
      <c r="AI19" s="4">
        <f t="shared" si="4"/>
        <v>81.91446281</v>
      </c>
    </row>
    <row r="20" ht="15.0" customHeight="1">
      <c r="A20" s="4"/>
      <c r="B20" s="48" t="s">
        <v>16</v>
      </c>
      <c r="C20" s="17" t="s">
        <v>28</v>
      </c>
      <c r="D20" s="17"/>
      <c r="E20" s="27"/>
      <c r="F20" s="17"/>
      <c r="G20" s="28">
        <f t="shared" ref="G20:R20" si="5">G18*20%</f>
        <v>29000</v>
      </c>
      <c r="H20" s="28">
        <f t="shared" si="5"/>
        <v>32000</v>
      </c>
      <c r="I20" s="28">
        <f t="shared" si="5"/>
        <v>32000</v>
      </c>
      <c r="J20" s="28">
        <f t="shared" si="5"/>
        <v>36000</v>
      </c>
      <c r="K20" s="28">
        <f t="shared" si="5"/>
        <v>36000</v>
      </c>
      <c r="L20" s="28">
        <f t="shared" si="5"/>
        <v>36000</v>
      </c>
      <c r="M20" s="28">
        <f t="shared" si="5"/>
        <v>40000</v>
      </c>
      <c r="N20" s="28">
        <f t="shared" si="5"/>
        <v>40000</v>
      </c>
      <c r="O20" s="28">
        <f t="shared" si="5"/>
        <v>40000</v>
      </c>
      <c r="P20" s="28">
        <f t="shared" si="5"/>
        <v>40000</v>
      </c>
      <c r="Q20" s="28">
        <f t="shared" si="5"/>
        <v>40000</v>
      </c>
      <c r="R20" s="28">
        <f t="shared" si="5"/>
        <v>40000</v>
      </c>
      <c r="S20" s="102">
        <v>15000.0</v>
      </c>
      <c r="T20" s="103"/>
      <c r="U20" s="102">
        <v>15000.0</v>
      </c>
      <c r="V20" s="103"/>
      <c r="W20" s="102">
        <v>15000.0</v>
      </c>
      <c r="X20" s="103"/>
      <c r="Y20" s="102">
        <v>17000.0</v>
      </c>
      <c r="Z20" s="103"/>
      <c r="AA20" s="102">
        <v>17000.0</v>
      </c>
      <c r="AB20" s="103"/>
      <c r="AC20" s="102">
        <v>17000.0</v>
      </c>
      <c r="AD20" s="103"/>
      <c r="AE20" s="102">
        <v>17000.0</v>
      </c>
      <c r="AF20" s="91">
        <f t="shared" si="3"/>
        <v>36750</v>
      </c>
      <c r="AG20" s="4"/>
      <c r="AH20" s="101">
        <v>14920.075714285715</v>
      </c>
      <c r="AI20" s="4">
        <f t="shared" si="4"/>
        <v>94.36898683</v>
      </c>
    </row>
    <row r="21" ht="15.0" customHeight="1">
      <c r="A21" s="4"/>
      <c r="B21" s="48" t="s">
        <v>16</v>
      </c>
      <c r="C21" s="17" t="s">
        <v>29</v>
      </c>
      <c r="D21" s="17"/>
      <c r="E21" s="27"/>
      <c r="F21" s="17"/>
      <c r="G21" s="28">
        <f t="shared" ref="G21:R21" si="6">G18*45%</f>
        <v>65250</v>
      </c>
      <c r="H21" s="28">
        <f t="shared" si="6"/>
        <v>72000</v>
      </c>
      <c r="I21" s="28">
        <f t="shared" si="6"/>
        <v>72000</v>
      </c>
      <c r="J21" s="28">
        <f t="shared" si="6"/>
        <v>81000</v>
      </c>
      <c r="K21" s="28">
        <f t="shared" si="6"/>
        <v>81000</v>
      </c>
      <c r="L21" s="28">
        <f t="shared" si="6"/>
        <v>81000</v>
      </c>
      <c r="M21" s="28">
        <f t="shared" si="6"/>
        <v>90000</v>
      </c>
      <c r="N21" s="28">
        <f t="shared" si="6"/>
        <v>90000</v>
      </c>
      <c r="O21" s="28">
        <f t="shared" si="6"/>
        <v>90000</v>
      </c>
      <c r="P21" s="28">
        <f t="shared" si="6"/>
        <v>90000</v>
      </c>
      <c r="Q21" s="28">
        <f t="shared" si="6"/>
        <v>90000</v>
      </c>
      <c r="R21" s="28">
        <f t="shared" si="6"/>
        <v>90000</v>
      </c>
      <c r="S21" s="102">
        <v>5000.0</v>
      </c>
      <c r="T21" s="103"/>
      <c r="U21" s="102">
        <v>5000.0</v>
      </c>
      <c r="V21" s="103"/>
      <c r="W21" s="102">
        <v>5000.0</v>
      </c>
      <c r="X21" s="103"/>
      <c r="Y21" s="102">
        <v>5000.0</v>
      </c>
      <c r="Z21" s="103"/>
      <c r="AA21" s="102">
        <v>5000.0</v>
      </c>
      <c r="AB21" s="103"/>
      <c r="AC21" s="102">
        <v>5000.0</v>
      </c>
      <c r="AD21" s="103"/>
      <c r="AE21" s="102">
        <v>5000.0</v>
      </c>
      <c r="AF21" s="91">
        <f t="shared" si="3"/>
        <v>82687.5</v>
      </c>
      <c r="AG21" s="4"/>
      <c r="AH21" s="101">
        <v>19892.824285714283</v>
      </c>
      <c r="AI21" s="4">
        <f t="shared" si="4"/>
        <v>228.0077231</v>
      </c>
    </row>
    <row r="22" ht="15.0" customHeight="1">
      <c r="A22" s="4"/>
      <c r="B22" s="48" t="s">
        <v>16</v>
      </c>
      <c r="C22" s="17" t="s">
        <v>30</v>
      </c>
      <c r="D22" s="17"/>
      <c r="E22" s="27"/>
      <c r="F22" s="17"/>
      <c r="G22" s="28">
        <v>120000.0</v>
      </c>
      <c r="H22" s="28">
        <v>120000.0</v>
      </c>
      <c r="I22" s="28">
        <v>130000.0</v>
      </c>
      <c r="J22" s="28">
        <v>140000.0</v>
      </c>
      <c r="K22" s="28">
        <v>150000.0</v>
      </c>
      <c r="L22" s="28">
        <v>160000.0</v>
      </c>
      <c r="M22" s="28">
        <v>160000.0</v>
      </c>
      <c r="N22" s="28">
        <v>160000.0</v>
      </c>
      <c r="O22" s="28">
        <v>160000.0</v>
      </c>
      <c r="P22" s="28">
        <v>200000.0</v>
      </c>
      <c r="Q22" s="28">
        <v>200000.0</v>
      </c>
      <c r="R22" s="28">
        <v>200000.0</v>
      </c>
      <c r="S22" s="102">
        <v>0.0</v>
      </c>
      <c r="T22" s="103"/>
      <c r="U22" s="102">
        <v>0.0</v>
      </c>
      <c r="V22" s="103"/>
      <c r="W22" s="102">
        <v>0.0</v>
      </c>
      <c r="X22" s="103"/>
      <c r="Y22" s="102">
        <v>0.0</v>
      </c>
      <c r="Z22" s="103"/>
      <c r="AA22" s="102">
        <v>0.0</v>
      </c>
      <c r="AB22" s="103"/>
      <c r="AC22" s="102">
        <v>0.0</v>
      </c>
      <c r="AD22" s="103"/>
      <c r="AE22" s="102">
        <v>0.0</v>
      </c>
      <c r="AF22" s="91">
        <f t="shared" si="3"/>
        <v>158333.3333</v>
      </c>
      <c r="AG22" s="4"/>
      <c r="AH22" s="101">
        <v>64000.0</v>
      </c>
      <c r="AI22" s="4">
        <f t="shared" si="4"/>
        <v>87.5</v>
      </c>
    </row>
    <row r="23" ht="15.0" customHeight="1">
      <c r="A23" s="4"/>
      <c r="B23" s="48" t="s">
        <v>16</v>
      </c>
      <c r="C23" s="17" t="s">
        <v>31</v>
      </c>
      <c r="D23" s="17"/>
      <c r="E23" s="27"/>
      <c r="F23" s="17"/>
      <c r="G23" s="28">
        <f t="shared" ref="G23:R23" si="7">G18*20%</f>
        <v>29000</v>
      </c>
      <c r="H23" s="28">
        <f t="shared" si="7"/>
        <v>32000</v>
      </c>
      <c r="I23" s="28">
        <f t="shared" si="7"/>
        <v>32000</v>
      </c>
      <c r="J23" s="28">
        <f t="shared" si="7"/>
        <v>36000</v>
      </c>
      <c r="K23" s="28">
        <f t="shared" si="7"/>
        <v>36000</v>
      </c>
      <c r="L23" s="28">
        <f t="shared" si="7"/>
        <v>36000</v>
      </c>
      <c r="M23" s="28">
        <f t="shared" si="7"/>
        <v>40000</v>
      </c>
      <c r="N23" s="28">
        <f t="shared" si="7"/>
        <v>40000</v>
      </c>
      <c r="O23" s="28">
        <f t="shared" si="7"/>
        <v>40000</v>
      </c>
      <c r="P23" s="28">
        <f t="shared" si="7"/>
        <v>40000</v>
      </c>
      <c r="Q23" s="28">
        <f t="shared" si="7"/>
        <v>40000</v>
      </c>
      <c r="R23" s="28">
        <f t="shared" si="7"/>
        <v>40000</v>
      </c>
      <c r="S23" s="102"/>
      <c r="T23" s="103"/>
      <c r="U23" s="102"/>
      <c r="V23" s="103"/>
      <c r="W23" s="102"/>
      <c r="X23" s="103"/>
      <c r="Y23" s="102"/>
      <c r="Z23" s="103"/>
      <c r="AA23" s="102"/>
      <c r="AB23" s="103"/>
      <c r="AC23" s="102"/>
      <c r="AD23" s="103"/>
      <c r="AE23" s="102"/>
      <c r="AF23" s="91">
        <f t="shared" si="3"/>
        <v>36750</v>
      </c>
      <c r="AG23" s="4"/>
      <c r="AH23" s="101">
        <v>7480.467142857144</v>
      </c>
      <c r="AI23" s="4">
        <f t="shared" si="4"/>
        <v>287.6763235</v>
      </c>
    </row>
    <row r="24" ht="15.0" customHeight="1">
      <c r="A24" s="4"/>
      <c r="B24" s="48" t="s">
        <v>16</v>
      </c>
      <c r="C24" s="17" t="s">
        <v>32</v>
      </c>
      <c r="D24" s="17"/>
      <c r="E24" s="27"/>
      <c r="F24" s="17"/>
      <c r="G24" s="28">
        <v>32000.0</v>
      </c>
      <c r="H24" s="28">
        <v>32000.0</v>
      </c>
      <c r="I24" s="28">
        <v>32000.0</v>
      </c>
      <c r="J24" s="28">
        <v>32000.0</v>
      </c>
      <c r="K24" s="28">
        <v>32000.0</v>
      </c>
      <c r="L24" s="28">
        <v>32000.0</v>
      </c>
      <c r="M24" s="28">
        <v>32000.0</v>
      </c>
      <c r="N24" s="28">
        <v>32000.0</v>
      </c>
      <c r="O24" s="28">
        <v>32000.0</v>
      </c>
      <c r="P24" s="28">
        <v>32000.0</v>
      </c>
      <c r="Q24" s="28">
        <v>32000.0</v>
      </c>
      <c r="R24" s="28">
        <v>32000.0</v>
      </c>
      <c r="S24" s="102">
        <v>9000.0</v>
      </c>
      <c r="T24" s="103"/>
      <c r="U24" s="102">
        <v>9000.0</v>
      </c>
      <c r="V24" s="103"/>
      <c r="W24" s="102">
        <v>9000.0</v>
      </c>
      <c r="X24" s="103"/>
      <c r="Y24" s="102">
        <v>9000.0</v>
      </c>
      <c r="Z24" s="103"/>
      <c r="AA24" s="102">
        <v>9000.0</v>
      </c>
      <c r="AB24" s="103"/>
      <c r="AC24" s="102">
        <v>9000.0</v>
      </c>
      <c r="AD24" s="103"/>
      <c r="AE24" s="102">
        <v>9000.0</v>
      </c>
      <c r="AF24" s="91">
        <f t="shared" si="3"/>
        <v>32000</v>
      </c>
      <c r="AG24" s="4"/>
      <c r="AH24" s="101">
        <v>24963.481428571427</v>
      </c>
      <c r="AI24" s="4">
        <f t="shared" si="4"/>
        <v>28.18724861</v>
      </c>
    </row>
    <row r="25" ht="15.0" customHeight="1">
      <c r="A25" s="4"/>
      <c r="B25" s="48" t="s">
        <v>16</v>
      </c>
      <c r="C25" s="17" t="s">
        <v>33</v>
      </c>
      <c r="D25" s="17"/>
      <c r="E25" s="27"/>
      <c r="F25" s="17"/>
      <c r="G25" s="28">
        <v>4500.0</v>
      </c>
      <c r="H25" s="28">
        <v>4500.0</v>
      </c>
      <c r="I25" s="28">
        <v>4500.0</v>
      </c>
      <c r="J25" s="28">
        <v>4500.0</v>
      </c>
      <c r="K25" s="28">
        <v>4500.0</v>
      </c>
      <c r="L25" s="28">
        <v>4500.0</v>
      </c>
      <c r="M25" s="28">
        <v>6500.0</v>
      </c>
      <c r="N25" s="28">
        <v>6500.0</v>
      </c>
      <c r="O25" s="28">
        <v>6500.0</v>
      </c>
      <c r="P25" s="28">
        <v>6500.0</v>
      </c>
      <c r="Q25" s="28">
        <v>6500.0</v>
      </c>
      <c r="R25" s="28">
        <v>6500.0</v>
      </c>
      <c r="S25" s="102">
        <v>2000.0</v>
      </c>
      <c r="T25" s="103"/>
      <c r="U25" s="102">
        <v>2000.0</v>
      </c>
      <c r="V25" s="103"/>
      <c r="W25" s="102">
        <v>2000.0</v>
      </c>
      <c r="X25" s="103"/>
      <c r="Y25" s="102">
        <v>2000.0</v>
      </c>
      <c r="Z25" s="103"/>
      <c r="AA25" s="102">
        <v>2000.0</v>
      </c>
      <c r="AB25" s="103"/>
      <c r="AC25" s="102">
        <v>2000.0</v>
      </c>
      <c r="AD25" s="103"/>
      <c r="AE25" s="102">
        <v>2000.0</v>
      </c>
      <c r="AF25" s="91">
        <f t="shared" si="3"/>
        <v>5500</v>
      </c>
      <c r="AG25" s="4"/>
      <c r="AH25" s="101">
        <v>2785.714285714286</v>
      </c>
      <c r="AI25" s="4">
        <f t="shared" si="4"/>
        <v>61.53846154</v>
      </c>
    </row>
    <row r="26" ht="15.0" customHeight="1">
      <c r="A26" s="4"/>
      <c r="B26" s="48" t="s">
        <v>16</v>
      </c>
      <c r="C26" s="17" t="s">
        <v>34</v>
      </c>
      <c r="D26" s="17"/>
      <c r="E26" s="27"/>
      <c r="F26" s="17"/>
      <c r="G26" s="28">
        <v>20000.0</v>
      </c>
      <c r="H26" s="28">
        <v>20000.0</v>
      </c>
      <c r="I26" s="28">
        <v>20000.0</v>
      </c>
      <c r="J26" s="28">
        <v>20000.0</v>
      </c>
      <c r="K26" s="28">
        <v>20000.0</v>
      </c>
      <c r="L26" s="28">
        <v>20000.0</v>
      </c>
      <c r="M26" s="28">
        <v>22000.0</v>
      </c>
      <c r="N26" s="28">
        <v>22000.0</v>
      </c>
      <c r="O26" s="28">
        <v>22000.0</v>
      </c>
      <c r="P26" s="28">
        <v>22000.0</v>
      </c>
      <c r="Q26" s="28">
        <v>22000.0</v>
      </c>
      <c r="R26" s="28">
        <v>22000.0</v>
      </c>
      <c r="S26" s="102">
        <v>1500.0</v>
      </c>
      <c r="T26" s="103"/>
      <c r="U26" s="102">
        <v>1500.0</v>
      </c>
      <c r="V26" s="103"/>
      <c r="W26" s="102">
        <v>1500.0</v>
      </c>
      <c r="X26" s="103"/>
      <c r="Y26" s="102">
        <v>1500.0</v>
      </c>
      <c r="Z26" s="103"/>
      <c r="AA26" s="102">
        <v>1500.0</v>
      </c>
      <c r="AB26" s="103"/>
      <c r="AC26" s="102">
        <v>1500.0</v>
      </c>
      <c r="AD26" s="103"/>
      <c r="AE26" s="102">
        <v>1500.0</v>
      </c>
      <c r="AF26" s="91">
        <f t="shared" si="3"/>
        <v>21000</v>
      </c>
      <c r="AG26" s="4"/>
      <c r="AH26" s="101">
        <v>13751.295714285716</v>
      </c>
      <c r="AI26" s="4">
        <f t="shared" si="4"/>
        <v>45.44084002</v>
      </c>
    </row>
    <row r="27" ht="15.0" customHeight="1">
      <c r="A27" s="4"/>
      <c r="B27" s="48" t="s">
        <v>16</v>
      </c>
      <c r="C27" s="17" t="s">
        <v>22</v>
      </c>
      <c r="D27" s="17"/>
      <c r="E27" s="27"/>
      <c r="F27" s="17"/>
      <c r="G27" s="28">
        <v>180000.0</v>
      </c>
      <c r="H27" s="28">
        <v>180000.0</v>
      </c>
      <c r="I27" s="28">
        <v>190000.0</v>
      </c>
      <c r="J27" s="28">
        <v>190000.0</v>
      </c>
      <c r="K27" s="28">
        <v>200000.0</v>
      </c>
      <c r="L27" s="28">
        <v>210000.0</v>
      </c>
      <c r="M27" s="28">
        <v>210000.0</v>
      </c>
      <c r="N27" s="28">
        <v>220000.0</v>
      </c>
      <c r="O27" s="28">
        <v>220000.0</v>
      </c>
      <c r="P27" s="28">
        <v>230000.0</v>
      </c>
      <c r="Q27" s="28">
        <v>230000.0</v>
      </c>
      <c r="R27" s="28">
        <v>230000.0</v>
      </c>
      <c r="S27" s="102">
        <v>30000.0</v>
      </c>
      <c r="T27" s="103"/>
      <c r="U27" s="102">
        <v>30000.0</v>
      </c>
      <c r="V27" s="103"/>
      <c r="W27" s="102">
        <v>30000.0</v>
      </c>
      <c r="X27" s="103"/>
      <c r="Y27" s="102">
        <v>30000.0</v>
      </c>
      <c r="Z27" s="103"/>
      <c r="AA27" s="102">
        <v>30000.0</v>
      </c>
      <c r="AB27" s="103"/>
      <c r="AC27" s="102">
        <v>30000.0</v>
      </c>
      <c r="AD27" s="103"/>
      <c r="AE27" s="102">
        <v>30000.0</v>
      </c>
      <c r="AF27" s="91">
        <f t="shared" si="3"/>
        <v>207500</v>
      </c>
      <c r="AG27" s="4"/>
      <c r="AH27" s="101">
        <v>145603.29857142858</v>
      </c>
      <c r="AI27" s="4">
        <f t="shared" si="4"/>
        <v>23.62357293</v>
      </c>
    </row>
    <row r="28" ht="15.0" customHeight="1">
      <c r="A28" s="4"/>
      <c r="B28" s="48" t="s">
        <v>16</v>
      </c>
      <c r="C28" s="17" t="s">
        <v>35</v>
      </c>
      <c r="D28" s="17"/>
      <c r="E28" s="27"/>
      <c r="F28" s="17"/>
      <c r="G28" s="28">
        <v>30000.0</v>
      </c>
      <c r="H28" s="28">
        <v>30000.0</v>
      </c>
      <c r="I28" s="28">
        <v>30000.0</v>
      </c>
      <c r="J28" s="28">
        <v>30000.0</v>
      </c>
      <c r="K28" s="28">
        <v>33000.0</v>
      </c>
      <c r="L28" s="28">
        <v>33000.0</v>
      </c>
      <c r="M28" s="28">
        <v>33000.0</v>
      </c>
      <c r="N28" s="28">
        <v>33000.0</v>
      </c>
      <c r="O28" s="28">
        <v>33000.0</v>
      </c>
      <c r="P28" s="28">
        <v>35000.0</v>
      </c>
      <c r="Q28" s="28">
        <v>35000.0</v>
      </c>
      <c r="R28" s="29">
        <v>35000.0</v>
      </c>
      <c r="S28" s="102">
        <v>7000.0</v>
      </c>
      <c r="T28" s="103"/>
      <c r="U28" s="102">
        <v>7000.0</v>
      </c>
      <c r="V28" s="103"/>
      <c r="W28" s="102">
        <v>7000.0</v>
      </c>
      <c r="X28" s="103"/>
      <c r="Y28" s="102">
        <v>7000.0</v>
      </c>
      <c r="Z28" s="103"/>
      <c r="AA28" s="102">
        <v>7000.0</v>
      </c>
      <c r="AB28" s="103"/>
      <c r="AC28" s="102">
        <v>7000.0</v>
      </c>
      <c r="AD28" s="103"/>
      <c r="AE28" s="102">
        <v>7000.0</v>
      </c>
      <c r="AF28" s="91">
        <f t="shared" si="3"/>
        <v>32500</v>
      </c>
      <c r="AG28" s="4"/>
      <c r="AH28" s="101">
        <v>21400.735714285714</v>
      </c>
      <c r="AI28" s="4">
        <f t="shared" si="4"/>
        <v>40.18209654</v>
      </c>
    </row>
    <row r="29" ht="15.0" customHeight="1">
      <c r="A29" s="4"/>
      <c r="B29" s="48" t="s">
        <v>16</v>
      </c>
      <c r="C29" s="17" t="s">
        <v>36</v>
      </c>
      <c r="D29" s="17"/>
      <c r="E29" s="27"/>
      <c r="F29" s="17"/>
      <c r="G29" s="28">
        <v>6000.0</v>
      </c>
      <c r="H29" s="28">
        <v>6000.0</v>
      </c>
      <c r="I29" s="28">
        <v>6000.0</v>
      </c>
      <c r="J29" s="28">
        <v>6000.0</v>
      </c>
      <c r="K29" s="28">
        <v>6000.0</v>
      </c>
      <c r="L29" s="28">
        <v>6000.0</v>
      </c>
      <c r="M29" s="28">
        <v>6000.0</v>
      </c>
      <c r="N29" s="28">
        <v>6000.0</v>
      </c>
      <c r="O29" s="28">
        <v>6000.0</v>
      </c>
      <c r="P29" s="28">
        <v>6000.0</v>
      </c>
      <c r="Q29" s="28">
        <v>6000.0</v>
      </c>
      <c r="R29" s="28">
        <v>6000.0</v>
      </c>
      <c r="S29" s="102"/>
      <c r="T29" s="103"/>
      <c r="U29" s="102"/>
      <c r="V29" s="103"/>
      <c r="W29" s="102"/>
      <c r="X29" s="103"/>
      <c r="Y29" s="102"/>
      <c r="Z29" s="103"/>
      <c r="AA29" s="102"/>
      <c r="AB29" s="103"/>
      <c r="AC29" s="102"/>
      <c r="AD29" s="103"/>
      <c r="AE29" s="102"/>
      <c r="AF29" s="91">
        <f t="shared" si="3"/>
        <v>6000</v>
      </c>
      <c r="AG29" s="4"/>
      <c r="AH29" s="101">
        <v>4317.04</v>
      </c>
      <c r="AI29" s="4">
        <f t="shared" si="4"/>
        <v>38.98411875</v>
      </c>
    </row>
    <row r="30" ht="15.0" customHeight="1">
      <c r="A30" s="4"/>
      <c r="B30" s="48" t="s">
        <v>16</v>
      </c>
      <c r="C30" s="17" t="s">
        <v>21</v>
      </c>
      <c r="D30" s="17"/>
      <c r="E30" s="27"/>
      <c r="F30" s="17"/>
      <c r="G30" s="28">
        <f t="shared" ref="G30:R30" si="8">G16*11%</f>
        <v>108625</v>
      </c>
      <c r="H30" s="28">
        <f t="shared" si="8"/>
        <v>112970</v>
      </c>
      <c r="I30" s="28">
        <f t="shared" si="8"/>
        <v>117315</v>
      </c>
      <c r="J30" s="28">
        <f t="shared" si="8"/>
        <v>121660</v>
      </c>
      <c r="K30" s="28">
        <f t="shared" si="8"/>
        <v>126005</v>
      </c>
      <c r="L30" s="28">
        <f t="shared" si="8"/>
        <v>130350</v>
      </c>
      <c r="M30" s="28">
        <f t="shared" si="8"/>
        <v>134695</v>
      </c>
      <c r="N30" s="28">
        <f t="shared" si="8"/>
        <v>139040</v>
      </c>
      <c r="O30" s="28">
        <f t="shared" si="8"/>
        <v>143385</v>
      </c>
      <c r="P30" s="28">
        <f t="shared" si="8"/>
        <v>147730</v>
      </c>
      <c r="Q30" s="28">
        <f t="shared" si="8"/>
        <v>152075</v>
      </c>
      <c r="R30" s="28">
        <f t="shared" si="8"/>
        <v>156420</v>
      </c>
      <c r="S30" s="102">
        <v>22000.0</v>
      </c>
      <c r="T30" s="103"/>
      <c r="U30" s="102">
        <v>22000.0</v>
      </c>
      <c r="V30" s="103"/>
      <c r="W30" s="102">
        <v>22000.0</v>
      </c>
      <c r="X30" s="103"/>
      <c r="Y30" s="102">
        <v>22000.0</v>
      </c>
      <c r="Z30" s="103"/>
      <c r="AA30" s="102">
        <v>22000.0</v>
      </c>
      <c r="AB30" s="103"/>
      <c r="AC30" s="102">
        <v>22000.0</v>
      </c>
      <c r="AD30" s="103"/>
      <c r="AE30" s="102">
        <v>22000.0</v>
      </c>
      <c r="AF30" s="91">
        <f t="shared" si="3"/>
        <v>132522.5</v>
      </c>
      <c r="AG30" s="4"/>
      <c r="AH30" s="101">
        <v>76921.88</v>
      </c>
      <c r="AI30" s="4">
        <f t="shared" si="4"/>
        <v>41.2146973</v>
      </c>
    </row>
    <row r="31" ht="15.0" customHeight="1">
      <c r="A31" s="4"/>
      <c r="B31" s="48" t="s">
        <v>16</v>
      </c>
      <c r="C31" s="17" t="s">
        <v>37</v>
      </c>
      <c r="D31" s="17"/>
      <c r="E31" s="27"/>
      <c r="F31" s="17"/>
      <c r="G31" s="28">
        <v>18000.0</v>
      </c>
      <c r="H31" s="28">
        <v>18000.0</v>
      </c>
      <c r="I31" s="28">
        <v>18000.0</v>
      </c>
      <c r="J31" s="28">
        <v>18000.0</v>
      </c>
      <c r="K31" s="28">
        <v>18000.0</v>
      </c>
      <c r="L31" s="28">
        <v>18000.0</v>
      </c>
      <c r="M31" s="28">
        <v>18000.0</v>
      </c>
      <c r="N31" s="28">
        <v>20000.0</v>
      </c>
      <c r="O31" s="28">
        <v>20000.0</v>
      </c>
      <c r="P31" s="28">
        <v>20000.0</v>
      </c>
      <c r="Q31" s="28">
        <v>20000.0</v>
      </c>
      <c r="R31" s="28">
        <v>20000.0</v>
      </c>
      <c r="S31" s="102">
        <v>16000.0</v>
      </c>
      <c r="T31" s="103"/>
      <c r="U31" s="102">
        <v>16000.0</v>
      </c>
      <c r="V31" s="103"/>
      <c r="W31" s="102">
        <v>16000.0</v>
      </c>
      <c r="X31" s="103"/>
      <c r="Y31" s="102">
        <v>16000.0</v>
      </c>
      <c r="Z31" s="103"/>
      <c r="AA31" s="102">
        <v>16000.0</v>
      </c>
      <c r="AB31" s="103"/>
      <c r="AC31" s="102">
        <v>16000.0</v>
      </c>
      <c r="AD31" s="103"/>
      <c r="AE31" s="102">
        <v>16000.0</v>
      </c>
      <c r="AF31" s="91">
        <f t="shared" si="3"/>
        <v>18833.33333</v>
      </c>
      <c r="AG31" s="4"/>
      <c r="AH31" s="101">
        <v>19478.795714285716</v>
      </c>
      <c r="AI31" s="4">
        <f t="shared" si="4"/>
        <v>-7.591823108</v>
      </c>
    </row>
    <row r="32" ht="15.0" customHeight="1">
      <c r="A32" s="4"/>
      <c r="B32" s="48" t="s">
        <v>16</v>
      </c>
      <c r="C32" s="17" t="s">
        <v>23</v>
      </c>
      <c r="D32" s="17"/>
      <c r="E32" s="27"/>
      <c r="F32" s="17"/>
      <c r="G32" s="28">
        <v>34000.0</v>
      </c>
      <c r="H32" s="28">
        <v>34000.0</v>
      </c>
      <c r="I32" s="28">
        <v>34000.0</v>
      </c>
      <c r="J32" s="28">
        <v>34000.0</v>
      </c>
      <c r="K32" s="28">
        <v>34000.0</v>
      </c>
      <c r="L32" s="28">
        <v>34000.0</v>
      </c>
      <c r="M32" s="28">
        <v>34000.0</v>
      </c>
      <c r="N32" s="28">
        <v>40000.0</v>
      </c>
      <c r="O32" s="28">
        <v>40000.0</v>
      </c>
      <c r="P32" s="28">
        <v>40000.0</v>
      </c>
      <c r="Q32" s="28">
        <v>40000.0</v>
      </c>
      <c r="R32" s="28">
        <v>40000.0</v>
      </c>
      <c r="S32" s="102">
        <v>16000.0</v>
      </c>
      <c r="T32" s="103"/>
      <c r="U32" s="102">
        <v>16000.0</v>
      </c>
      <c r="V32" s="103"/>
      <c r="W32" s="102">
        <v>16000.0</v>
      </c>
      <c r="X32" s="103"/>
      <c r="Y32" s="102">
        <v>16000.0</v>
      </c>
      <c r="Z32" s="103"/>
      <c r="AA32" s="102">
        <v>16000.0</v>
      </c>
      <c r="AB32" s="103"/>
      <c r="AC32" s="102">
        <v>16000.0</v>
      </c>
      <c r="AD32" s="103"/>
      <c r="AE32" s="102">
        <v>16000.0</v>
      </c>
      <c r="AF32" s="91">
        <f t="shared" si="3"/>
        <v>36500</v>
      </c>
      <c r="AG32" s="4"/>
      <c r="AH32" s="101">
        <v>18227.13142857143</v>
      </c>
      <c r="AI32" s="4">
        <f t="shared" si="4"/>
        <v>86.53511186</v>
      </c>
    </row>
    <row r="33" ht="15.0" customHeight="1">
      <c r="A33" s="4"/>
      <c r="B33" s="48" t="s">
        <v>16</v>
      </c>
      <c r="C33" s="17" t="s">
        <v>24</v>
      </c>
      <c r="D33" s="17"/>
      <c r="E33" s="27"/>
      <c r="F33" s="17"/>
      <c r="G33" s="28">
        <v>5000.0</v>
      </c>
      <c r="H33" s="28">
        <v>5000.0</v>
      </c>
      <c r="I33" s="28">
        <v>5000.0</v>
      </c>
      <c r="J33" s="28">
        <v>5000.0</v>
      </c>
      <c r="K33" s="28">
        <v>5000.0</v>
      </c>
      <c r="L33" s="28">
        <v>5000.0</v>
      </c>
      <c r="M33" s="28">
        <v>5000.0</v>
      </c>
      <c r="N33" s="28">
        <v>5000.0</v>
      </c>
      <c r="O33" s="28">
        <v>5000.0</v>
      </c>
      <c r="P33" s="28">
        <v>5000.0</v>
      </c>
      <c r="Q33" s="28">
        <v>5000.0</v>
      </c>
      <c r="R33" s="28">
        <v>5000.0</v>
      </c>
      <c r="S33" s="102"/>
      <c r="T33" s="103"/>
      <c r="U33" s="102"/>
      <c r="V33" s="103"/>
      <c r="W33" s="102"/>
      <c r="X33" s="103"/>
      <c r="Y33" s="102"/>
      <c r="Z33" s="103"/>
      <c r="AA33" s="102"/>
      <c r="AB33" s="103"/>
      <c r="AC33" s="102"/>
      <c r="AD33" s="103"/>
      <c r="AE33" s="102"/>
      <c r="AF33" s="91">
        <f t="shared" si="3"/>
        <v>5000</v>
      </c>
      <c r="AG33" s="4"/>
      <c r="AH33" s="101">
        <v>5000.0</v>
      </c>
      <c r="AI33" s="4">
        <f t="shared" si="4"/>
        <v>0</v>
      </c>
    </row>
    <row r="34" ht="15.0" customHeight="1">
      <c r="A34" s="4"/>
      <c r="B34" s="48" t="s">
        <v>16</v>
      </c>
      <c r="C34" s="4" t="s">
        <v>51</v>
      </c>
      <c r="D34" s="17"/>
      <c r="E34" s="27"/>
      <c r="F34" s="17"/>
      <c r="G34" s="28">
        <f t="shared" ref="G34:R34" si="9">G16*8.5%</f>
        <v>83937.5</v>
      </c>
      <c r="H34" s="28">
        <f t="shared" si="9"/>
        <v>87295</v>
      </c>
      <c r="I34" s="28">
        <f t="shared" si="9"/>
        <v>90652.5</v>
      </c>
      <c r="J34" s="28">
        <f t="shared" si="9"/>
        <v>94010</v>
      </c>
      <c r="K34" s="28">
        <f t="shared" si="9"/>
        <v>97367.5</v>
      </c>
      <c r="L34" s="28">
        <f t="shared" si="9"/>
        <v>100725</v>
      </c>
      <c r="M34" s="28">
        <f t="shared" si="9"/>
        <v>104082.5</v>
      </c>
      <c r="N34" s="28">
        <f t="shared" si="9"/>
        <v>107440</v>
      </c>
      <c r="O34" s="28">
        <f t="shared" si="9"/>
        <v>110797.5</v>
      </c>
      <c r="P34" s="28">
        <f t="shared" si="9"/>
        <v>114155</v>
      </c>
      <c r="Q34" s="28">
        <f t="shared" si="9"/>
        <v>117512.5</v>
      </c>
      <c r="R34" s="28">
        <f t="shared" si="9"/>
        <v>120870</v>
      </c>
      <c r="S34" s="102">
        <v>5000.0</v>
      </c>
      <c r="T34" s="103"/>
      <c r="U34" s="102">
        <v>5000.0</v>
      </c>
      <c r="V34" s="103"/>
      <c r="W34" s="102">
        <v>5000.0</v>
      </c>
      <c r="X34" s="103"/>
      <c r="Y34" s="102">
        <v>5000.0</v>
      </c>
      <c r="Z34" s="103"/>
      <c r="AA34" s="102">
        <v>5000.0</v>
      </c>
      <c r="AB34" s="103"/>
      <c r="AC34" s="102">
        <v>5000.0</v>
      </c>
      <c r="AD34" s="103"/>
      <c r="AE34" s="102">
        <v>5000.0</v>
      </c>
      <c r="AF34" s="91">
        <f t="shared" si="3"/>
        <v>102403.75</v>
      </c>
      <c r="AG34" s="4"/>
      <c r="AH34" s="101">
        <v>41743.02428571428</v>
      </c>
      <c r="AI34" s="4">
        <f t="shared" si="4"/>
        <v>101.0815015</v>
      </c>
    </row>
    <row r="35" ht="15.0" customHeight="1">
      <c r="A35" s="4"/>
      <c r="B35" s="48" t="s">
        <v>16</v>
      </c>
      <c r="C35" s="17" t="s">
        <v>38</v>
      </c>
      <c r="D35" s="17"/>
      <c r="E35" s="27"/>
      <c r="F35" s="17"/>
      <c r="G35" s="28">
        <v>20000.0</v>
      </c>
      <c r="H35" s="28">
        <v>20000.0</v>
      </c>
      <c r="I35" s="28">
        <v>20000.0</v>
      </c>
      <c r="J35" s="28">
        <v>20000.0</v>
      </c>
      <c r="K35" s="28">
        <v>20000.0</v>
      </c>
      <c r="L35" s="28">
        <v>20000.0</v>
      </c>
      <c r="M35" s="28">
        <v>20000.0</v>
      </c>
      <c r="N35" s="28">
        <v>20000.0</v>
      </c>
      <c r="O35" s="28">
        <v>20000.0</v>
      </c>
      <c r="P35" s="28">
        <v>20000.0</v>
      </c>
      <c r="Q35" s="28">
        <v>20000.0</v>
      </c>
      <c r="R35" s="28">
        <v>20000.0</v>
      </c>
      <c r="S35" s="102"/>
      <c r="T35" s="103"/>
      <c r="U35" s="102"/>
      <c r="V35" s="103"/>
      <c r="W35" s="102"/>
      <c r="X35" s="103"/>
      <c r="Y35" s="102"/>
      <c r="Z35" s="103"/>
      <c r="AA35" s="102"/>
      <c r="AB35" s="103"/>
      <c r="AC35" s="102"/>
      <c r="AD35" s="103"/>
      <c r="AE35" s="102"/>
      <c r="AF35" s="91">
        <f t="shared" si="3"/>
        <v>20000</v>
      </c>
      <c r="AG35" s="4"/>
      <c r="AH35" s="101">
        <v>23021.815714285713</v>
      </c>
      <c r="AI35" s="4">
        <f t="shared" si="4"/>
        <v>-13.12587917</v>
      </c>
    </row>
    <row r="36" ht="15.0" customHeight="1">
      <c r="A36" s="104" t="s">
        <v>52</v>
      </c>
      <c r="B36" s="55" t="s">
        <v>14</v>
      </c>
      <c r="C36" s="56" t="s">
        <v>39</v>
      </c>
      <c r="D36" s="56"/>
      <c r="E36" s="57"/>
      <c r="F36" s="17"/>
      <c r="G36" s="58">
        <v>979687.5</v>
      </c>
      <c r="H36" s="58">
        <v>1017115.0</v>
      </c>
      <c r="I36" s="58">
        <v>1046792.5</v>
      </c>
      <c r="J36" s="58">
        <v>1103470.0</v>
      </c>
      <c r="K36" s="58">
        <v>1136147.5</v>
      </c>
      <c r="L36" s="58">
        <v>1165825.0</v>
      </c>
      <c r="M36" s="58">
        <v>1216502.5</v>
      </c>
      <c r="N36" s="58">
        <v>1244180.0</v>
      </c>
      <c r="O36" s="58">
        <v>1253857.5</v>
      </c>
      <c r="P36" s="58">
        <v>1315535.0</v>
      </c>
      <c r="Q36" s="58">
        <v>1325212.5</v>
      </c>
      <c r="R36" s="58">
        <v>1334890.0</v>
      </c>
      <c r="S36" s="105">
        <f t="shared" ref="S36:AF36" si="10">SUM(S18:S35)</f>
        <v>198500</v>
      </c>
      <c r="T36" s="58">
        <f t="shared" si="10"/>
        <v>0</v>
      </c>
      <c r="U36" s="105">
        <f t="shared" si="10"/>
        <v>198500</v>
      </c>
      <c r="V36" s="58">
        <f t="shared" si="10"/>
        <v>0</v>
      </c>
      <c r="W36" s="105">
        <f t="shared" si="10"/>
        <v>198500</v>
      </c>
      <c r="X36" s="58">
        <f t="shared" si="10"/>
        <v>0</v>
      </c>
      <c r="Y36" s="105">
        <f t="shared" si="10"/>
        <v>210500</v>
      </c>
      <c r="Z36" s="58">
        <f t="shared" si="10"/>
        <v>0</v>
      </c>
      <c r="AA36" s="105">
        <f t="shared" si="10"/>
        <v>210500</v>
      </c>
      <c r="AB36" s="58">
        <f t="shared" si="10"/>
        <v>0</v>
      </c>
      <c r="AC36" s="105">
        <f t="shared" si="10"/>
        <v>210500</v>
      </c>
      <c r="AD36" s="58">
        <f t="shared" si="10"/>
        <v>0</v>
      </c>
      <c r="AE36" s="105">
        <f t="shared" si="10"/>
        <v>210500</v>
      </c>
      <c r="AF36" s="91">
        <f t="shared" si="10"/>
        <v>1178267.917</v>
      </c>
      <c r="AG36" s="4"/>
      <c r="AH36" s="101">
        <v>637929.8999999998</v>
      </c>
      <c r="AI36" s="4">
        <f t="shared" si="4"/>
        <v>53.57290825</v>
      </c>
    </row>
    <row r="37" ht="15.0" customHeight="1">
      <c r="A37" s="4"/>
      <c r="B37" s="17"/>
      <c r="C37" s="17"/>
      <c r="D37" s="17"/>
      <c r="E37" s="17"/>
      <c r="F37" s="17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4"/>
      <c r="AH37" s="66"/>
      <c r="AI37" s="4"/>
    </row>
    <row r="38" ht="15.0" customHeight="1">
      <c r="A38" s="4"/>
      <c r="B38" s="67" t="s">
        <v>14</v>
      </c>
      <c r="C38" s="68" t="s">
        <v>53</v>
      </c>
      <c r="D38" s="68"/>
      <c r="E38" s="69"/>
      <c r="F38" s="17"/>
      <c r="G38" s="70">
        <f t="shared" ref="G38:R38" si="11">G16-G36</f>
        <v>7812.5</v>
      </c>
      <c r="H38" s="70">
        <f t="shared" si="11"/>
        <v>9885</v>
      </c>
      <c r="I38" s="70">
        <f t="shared" si="11"/>
        <v>19707.5</v>
      </c>
      <c r="J38" s="70">
        <f t="shared" si="11"/>
        <v>2530</v>
      </c>
      <c r="K38" s="70">
        <f t="shared" si="11"/>
        <v>9352.5</v>
      </c>
      <c r="L38" s="70">
        <f t="shared" si="11"/>
        <v>19175</v>
      </c>
      <c r="M38" s="70">
        <f t="shared" si="11"/>
        <v>7997.5</v>
      </c>
      <c r="N38" s="70">
        <f t="shared" si="11"/>
        <v>19820</v>
      </c>
      <c r="O38" s="70">
        <f t="shared" si="11"/>
        <v>49642.5</v>
      </c>
      <c r="P38" s="70">
        <f t="shared" si="11"/>
        <v>27465</v>
      </c>
      <c r="Q38" s="70">
        <f t="shared" si="11"/>
        <v>57287.5</v>
      </c>
      <c r="R38" s="70">
        <f t="shared" si="11"/>
        <v>87110</v>
      </c>
      <c r="S38" s="106" t="str">
        <f t="shared" ref="S38:AE38" si="12">#REF!-S36</f>
        <v>#REF!</v>
      </c>
      <c r="T38" s="70" t="str">
        <f t="shared" si="12"/>
        <v>#REF!</v>
      </c>
      <c r="U38" s="106" t="str">
        <f t="shared" si="12"/>
        <v>#REF!</v>
      </c>
      <c r="V38" s="70" t="str">
        <f t="shared" si="12"/>
        <v>#REF!</v>
      </c>
      <c r="W38" s="106" t="str">
        <f t="shared" si="12"/>
        <v>#REF!</v>
      </c>
      <c r="X38" s="70" t="str">
        <f t="shared" si="12"/>
        <v>#REF!</v>
      </c>
      <c r="Y38" s="106" t="str">
        <f t="shared" si="12"/>
        <v>#REF!</v>
      </c>
      <c r="Z38" s="70" t="str">
        <f t="shared" si="12"/>
        <v>#REF!</v>
      </c>
      <c r="AA38" s="106" t="str">
        <f t="shared" si="12"/>
        <v>#REF!</v>
      </c>
      <c r="AB38" s="70" t="str">
        <f t="shared" si="12"/>
        <v>#REF!</v>
      </c>
      <c r="AC38" s="106" t="str">
        <f t="shared" si="12"/>
        <v>#REF!</v>
      </c>
      <c r="AD38" s="70" t="str">
        <f t="shared" si="12"/>
        <v>#REF!</v>
      </c>
      <c r="AE38" s="106" t="str">
        <f t="shared" si="12"/>
        <v>#REF!</v>
      </c>
      <c r="AF38" s="107">
        <f>SUM(G38:R38)</f>
        <v>317785</v>
      </c>
      <c r="AG38" s="4"/>
      <c r="AH38" s="108">
        <v>98051.91714285717</v>
      </c>
      <c r="AI38" s="4"/>
    </row>
    <row r="39" ht="15.0" customHeight="1">
      <c r="A39" s="4"/>
      <c r="B39" s="72"/>
      <c r="C39" s="73" t="s">
        <v>54</v>
      </c>
      <c r="D39" s="73"/>
      <c r="E39" s="74"/>
      <c r="F39" s="17"/>
      <c r="G39" s="75">
        <f t="shared" ref="G39:R39" si="13">IF(OR(G16=0,G36=0),"",G36/G16)</f>
        <v>0.9920886076</v>
      </c>
      <c r="H39" s="75">
        <f t="shared" si="13"/>
        <v>0.9903748783</v>
      </c>
      <c r="I39" s="75">
        <f t="shared" si="13"/>
        <v>0.9815213315</v>
      </c>
      <c r="J39" s="75">
        <f t="shared" si="13"/>
        <v>0.9977124774</v>
      </c>
      <c r="K39" s="75">
        <f t="shared" si="13"/>
        <v>0.991835443</v>
      </c>
      <c r="L39" s="75">
        <f t="shared" si="13"/>
        <v>0.9838185654</v>
      </c>
      <c r="M39" s="75">
        <f t="shared" si="13"/>
        <v>0.9934687628</v>
      </c>
      <c r="N39" s="75">
        <f t="shared" si="13"/>
        <v>0.9843196203</v>
      </c>
      <c r="O39" s="75">
        <f t="shared" si="13"/>
        <v>0.9619159954</v>
      </c>
      <c r="P39" s="75">
        <f t="shared" si="13"/>
        <v>0.979549516</v>
      </c>
      <c r="Q39" s="75">
        <f t="shared" si="13"/>
        <v>0.958562387</v>
      </c>
      <c r="R39" s="75">
        <f t="shared" si="13"/>
        <v>0.9387412096</v>
      </c>
      <c r="S39" s="109" t="str">
        <f t="shared" ref="S39:AE39" si="14">IF(OR(#REF!=0,S36=0),"",S36/#REF!)</f>
        <v>#REF!</v>
      </c>
      <c r="T39" s="75" t="str">
        <f t="shared" si="14"/>
        <v>#REF!</v>
      </c>
      <c r="U39" s="109" t="str">
        <f t="shared" si="14"/>
        <v>#REF!</v>
      </c>
      <c r="V39" s="75" t="str">
        <f t="shared" si="14"/>
        <v>#REF!</v>
      </c>
      <c r="W39" s="109" t="str">
        <f t="shared" si="14"/>
        <v>#REF!</v>
      </c>
      <c r="X39" s="75" t="str">
        <f t="shared" si="14"/>
        <v>#REF!</v>
      </c>
      <c r="Y39" s="109" t="str">
        <f t="shared" si="14"/>
        <v>#REF!</v>
      </c>
      <c r="Z39" s="75" t="str">
        <f t="shared" si="14"/>
        <v>#REF!</v>
      </c>
      <c r="AA39" s="109" t="str">
        <f t="shared" si="14"/>
        <v>#REF!</v>
      </c>
      <c r="AB39" s="75" t="str">
        <f t="shared" si="14"/>
        <v>#REF!</v>
      </c>
      <c r="AC39" s="109" t="str">
        <f t="shared" si="14"/>
        <v>#REF!</v>
      </c>
      <c r="AD39" s="75" t="str">
        <f t="shared" si="14"/>
        <v>#REF!</v>
      </c>
      <c r="AE39" s="109" t="str">
        <f t="shared" si="14"/>
        <v>#REF!</v>
      </c>
      <c r="AF39" s="110"/>
      <c r="AG39" s="4"/>
      <c r="AH39" s="4"/>
      <c r="AI39" s="4"/>
    </row>
    <row r="40" ht="15.0" customHeight="1">
      <c r="A40" s="4"/>
      <c r="B40" s="17"/>
      <c r="C40" s="17"/>
      <c r="D40" s="17"/>
      <c r="E40" s="17"/>
      <c r="F40" s="17"/>
      <c r="G40" s="17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11"/>
      <c r="S40" s="111"/>
      <c r="T40" s="19"/>
      <c r="U40" s="111"/>
      <c r="V40" s="19"/>
      <c r="W40" s="111"/>
      <c r="X40" s="19"/>
      <c r="Y40" s="111"/>
      <c r="Z40" s="19"/>
      <c r="AA40" s="111"/>
      <c r="AB40" s="19"/>
      <c r="AC40" s="111"/>
      <c r="AD40" s="19"/>
      <c r="AE40" s="111"/>
      <c r="AF40" s="19"/>
      <c r="AG40" s="4"/>
      <c r="AH40" s="4"/>
      <c r="AI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5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5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5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5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5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5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5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5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5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5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5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5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5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5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5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5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5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5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5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5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5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5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5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5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5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5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5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5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5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5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5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5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5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5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5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5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5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5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5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5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5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5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5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5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5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5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5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5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5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5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5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5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5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5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5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5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5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5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5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5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5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5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5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5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5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5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5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5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5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5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5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5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5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5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5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5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5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5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5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5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5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5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5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5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5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5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5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5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5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5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5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5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5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5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5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5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5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5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5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5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5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5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5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5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5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5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5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5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5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5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5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5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5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5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5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5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5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5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5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5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5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5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5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5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5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5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5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5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5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5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5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5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5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5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5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5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5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5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5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5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5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5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5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5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5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5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5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5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5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5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5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5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5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5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5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5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5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5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5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5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5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5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5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5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5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5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5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5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5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5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5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5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5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5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5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5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5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5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5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5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5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5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5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5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5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5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5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5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5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5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5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5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5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5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5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5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5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5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5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5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5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5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5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5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5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5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5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5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5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5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5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5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5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5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5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5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5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5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5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5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5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5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5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5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5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5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5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5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5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5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5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5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5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5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5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5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5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5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5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5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5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5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5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5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5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5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5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5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5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5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5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5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5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5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5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5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5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5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5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5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5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5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5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5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5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5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5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5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5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5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5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5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5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5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5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5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5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5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5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5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5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5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5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5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5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5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5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5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5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5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5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5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5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5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5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5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5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5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5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5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5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5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5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5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5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5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5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5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5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5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5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5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5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5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5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5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5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5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5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5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5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5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5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5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5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5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5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5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5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5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5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5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5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5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5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5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5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5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5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5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5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5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5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5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5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5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5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5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5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5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5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5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5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5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5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5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5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5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5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5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5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5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5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5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5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5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5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5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5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5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5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5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5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5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5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5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5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5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5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5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5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5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5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5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5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5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5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5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5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5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5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5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5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5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5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5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5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5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5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5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5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5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5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5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5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5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5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5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5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5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5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5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5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5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5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5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5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5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5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5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5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5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5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5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5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5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5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5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5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5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5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5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5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5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5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5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5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5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5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5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5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5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5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5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5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5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5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5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5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5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5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5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5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5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5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5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5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5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5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5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5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5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5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5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5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5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5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5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5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5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5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5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5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5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5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5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5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5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5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5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5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5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5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5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5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5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5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5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5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5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5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5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5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5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5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5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5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5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5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5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5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5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5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5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5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5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5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5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5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5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5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5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5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5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5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5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5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5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5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5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5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5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5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5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5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5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5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5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5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5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5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5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5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5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5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5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5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5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5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5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5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5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5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5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5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5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5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5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5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5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5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5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5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5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5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5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5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5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5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5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5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5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5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5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5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5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5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5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5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5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5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5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5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5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5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5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5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5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5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5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5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5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5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5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5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5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5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5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5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5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5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5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5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5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5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5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5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5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5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5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5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5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5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5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5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5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5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5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5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5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5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5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5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5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5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5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5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5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5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5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5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5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5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5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5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5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5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5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5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5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5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5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5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5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5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5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5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5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5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5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5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5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5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5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5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5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5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5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5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5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5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5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5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5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5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5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5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5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5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5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5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5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5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5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5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5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5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5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5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5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5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5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5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5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5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5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5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5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5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5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5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5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5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5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5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5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5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5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5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5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5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5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5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5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5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5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5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5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5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5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5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5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5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5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5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5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5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5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5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5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5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5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5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5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5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5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5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5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5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5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5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5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5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5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5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5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5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5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5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5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5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5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5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5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5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5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5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5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5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5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5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5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5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5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5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5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5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5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5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5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5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5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5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5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5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5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5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5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5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5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5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5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5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5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5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5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5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5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5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5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5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5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5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5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5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5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5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5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5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5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5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5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5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5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5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5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5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5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5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5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5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5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5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5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5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5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5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5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5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5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5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5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5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5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5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5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5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5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5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5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5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5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5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5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5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5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5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5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5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5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5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5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5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5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5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5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5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5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5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5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5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5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5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5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5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5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5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5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5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5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5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5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5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5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5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5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5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5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5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5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5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5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5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5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5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5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5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5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5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5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5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5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5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5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5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5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5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5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5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5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5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5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5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5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5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5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5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5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5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5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5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5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5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5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5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5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5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5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5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5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5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5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5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5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5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5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5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5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5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5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5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5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5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5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5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5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5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5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5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5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5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5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5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5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5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5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5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5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5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5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5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5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5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5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5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5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5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5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5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5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5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5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5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5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5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5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5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5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5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5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5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5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5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5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5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5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5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5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5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5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5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5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5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5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5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5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5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5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5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5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</row>
  </sheetData>
  <mergeCells count="4">
    <mergeCell ref="B7:AF7"/>
    <mergeCell ref="B9:E10"/>
    <mergeCell ref="B12:E12"/>
    <mergeCell ref="B14:E14"/>
  </mergeCells>
  <printOptions horizontalCentered="1" verticalCentered="1"/>
  <pageMargins bottom="0.0" footer="0.0" header="0.0" left="0.0" right="0.0" top="0.0"/>
  <pageSetup paperSize="9" orientation="landscape"/>
  <drawing r:id="rId2"/>
  <legacyDrawing r:id="rId3"/>
</worksheet>
</file>